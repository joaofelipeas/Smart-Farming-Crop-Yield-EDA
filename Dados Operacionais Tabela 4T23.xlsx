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gruposlc.sharepoint.com/sites/EquipedeRI/Shared Documents/Analises/Releases 2023/4T23/Release/TABELAS SITE/Material Complementar/"/>
    </mc:Choice>
  </mc:AlternateContent>
  <xr:revisionPtr revIDLastSave="2140" documentId="8_{704DEF31-C92D-414E-B8F6-38E4EFF08F84}" xr6:coauthVersionLast="47" xr6:coauthVersionMax="47" xr10:uidLastSave="{10360DD9-F583-43A5-ACCA-027C241E4862}"/>
  <bookViews>
    <workbookView xWindow="-110" yWindow="-110" windowWidth="19420" windowHeight="10300" activeTab="1" xr2:uid="{EA9F46CF-4254-461C-B415-1961CDAAD00B}"/>
  </bookViews>
  <sheets>
    <sheet name="Operacoes 22.23" sheetId="1" r:id="rId1"/>
    <sheet name="Operacoes 23.24" sheetId="2" r:id="rId2"/>
  </sheets>
  <definedNames>
    <definedName name="OLE_LINK4" localSheetId="0">'Operacoes 22.23'!$E$21</definedName>
    <definedName name="OLE_LINK4" localSheetId="1">'Operacoes 23.24'!$E$22</definedName>
    <definedName name="OLE_LINK7" localSheetId="0">'Operacoes 22.23'!$E$19</definedName>
    <definedName name="OLE_LINK7" localSheetId="1">'Operacoes 23.24'!$E$20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2" l="1"/>
  <c r="G11" i="2"/>
  <c r="G10" i="2"/>
  <c r="G9" i="2"/>
  <c r="G8" i="2"/>
  <c r="G7" i="2"/>
  <c r="E79" i="1"/>
  <c r="F20" i="2"/>
  <c r="F19" i="2"/>
  <c r="H79" i="1"/>
  <c r="F22" i="1"/>
  <c r="G23" i="2"/>
  <c r="F23" i="2"/>
  <c r="G22" i="2"/>
  <c r="F22" i="2"/>
  <c r="G21" i="2"/>
  <c r="F21" i="2"/>
  <c r="G20" i="2"/>
  <c r="G19" i="2"/>
  <c r="F7" i="2"/>
  <c r="F8" i="2"/>
  <c r="F9" i="2"/>
  <c r="F10" i="2"/>
  <c r="F11" i="2"/>
  <c r="F12" i="2"/>
  <c r="F6" i="2"/>
  <c r="G12" i="2"/>
  <c r="N6" i="2" l="1"/>
  <c r="O6" i="2"/>
  <c r="N7" i="2"/>
  <c r="O7" i="2"/>
  <c r="N8" i="2"/>
  <c r="O8" i="2"/>
  <c r="N9" i="2"/>
  <c r="O9" i="2"/>
  <c r="N10" i="2"/>
  <c r="O10" i="2"/>
  <c r="N11" i="2"/>
  <c r="O11" i="2"/>
  <c r="N12" i="2"/>
  <c r="O12" i="2"/>
  <c r="F83" i="2" l="1"/>
  <c r="F67" i="1" l="1"/>
  <c r="G67" i="1"/>
  <c r="G68" i="1"/>
  <c r="G69" i="1"/>
  <c r="G70" i="1"/>
  <c r="G71" i="1"/>
  <c r="F72" i="2"/>
  <c r="F71" i="2"/>
  <c r="F69" i="2"/>
  <c r="F70" i="2"/>
  <c r="F68" i="2"/>
  <c r="F12" i="1"/>
  <c r="E12" i="1"/>
  <c r="F11" i="1"/>
  <c r="E11" i="1"/>
  <c r="F10" i="1"/>
  <c r="E10" i="1"/>
  <c r="F9" i="1"/>
  <c r="E9" i="1"/>
  <c r="F8" i="1"/>
  <c r="E8" i="1"/>
  <c r="F7" i="1"/>
  <c r="E7" i="1"/>
  <c r="F6" i="1"/>
  <c r="E6" i="1"/>
  <c r="Q18" i="1" l="1"/>
  <c r="M83" i="2"/>
  <c r="M82" i="2"/>
  <c r="G84" i="2"/>
  <c r="G83" i="2"/>
  <c r="G82" i="2"/>
  <c r="G81" i="2"/>
  <c r="F84" i="2"/>
  <c r="C82" i="2"/>
  <c r="C83" i="2"/>
  <c r="C84" i="2"/>
  <c r="M84" i="2" s="1"/>
  <c r="C81" i="2"/>
  <c r="M81" i="2" s="1"/>
  <c r="F81" i="2"/>
  <c r="G48" i="2"/>
  <c r="H48" i="2"/>
  <c r="H49" i="2"/>
  <c r="Q71" i="1"/>
  <c r="Q70" i="1"/>
  <c r="Q69" i="1"/>
  <c r="Q68" i="1"/>
  <c r="Q67" i="1"/>
  <c r="M68" i="1"/>
  <c r="M67" i="1"/>
  <c r="M71" i="1"/>
  <c r="M70" i="1"/>
  <c r="M69" i="1"/>
  <c r="M82" i="1"/>
  <c r="M81" i="1"/>
  <c r="M80" i="1"/>
  <c r="M79" i="1"/>
  <c r="H52" i="1"/>
  <c r="G82" i="1"/>
  <c r="G81" i="1"/>
  <c r="G80" i="1"/>
  <c r="G79" i="1"/>
  <c r="F71" i="1"/>
  <c r="F80" i="1"/>
  <c r="E82" i="1"/>
  <c r="E84" i="2" s="1"/>
  <c r="O84" i="2" s="1"/>
  <c r="E81" i="1"/>
  <c r="E83" i="2" s="1"/>
  <c r="O83" i="2" s="1"/>
  <c r="D82" i="1"/>
  <c r="D84" i="2" s="1"/>
  <c r="N84" i="2" s="1"/>
  <c r="D81" i="1"/>
  <c r="N81" i="1" s="1"/>
  <c r="D80" i="1"/>
  <c r="E80" i="1" s="1"/>
  <c r="E82" i="2" s="1"/>
  <c r="D79" i="1"/>
  <c r="F69" i="1"/>
  <c r="P69" i="1" s="1"/>
  <c r="F79" i="1"/>
  <c r="C47" i="1"/>
  <c r="H80" i="1" l="1"/>
  <c r="I80" i="1" s="1"/>
  <c r="O82" i="2"/>
  <c r="N79" i="1"/>
  <c r="D83" i="2"/>
  <c r="N83" i="2" s="1"/>
  <c r="N80" i="1"/>
  <c r="N82" i="1"/>
  <c r="D81" i="2"/>
  <c r="N81" i="2" s="1"/>
  <c r="D82" i="2"/>
  <c r="N82" i="2" s="1"/>
  <c r="O79" i="1"/>
  <c r="E81" i="2"/>
  <c r="O81" i="2" l="1"/>
  <c r="F82" i="2"/>
  <c r="P81" i="2"/>
  <c r="H84" i="2"/>
  <c r="I84" i="2" s="1"/>
  <c r="Q23" i="2"/>
  <c r="Q22" i="2"/>
  <c r="Q21" i="2"/>
  <c r="Q20" i="2"/>
  <c r="Q19" i="2"/>
  <c r="I79" i="1"/>
  <c r="S79" i="1" s="1"/>
  <c r="F82" i="1"/>
  <c r="H82" i="1" s="1"/>
  <c r="I82" i="1" s="1"/>
  <c r="F81" i="1"/>
  <c r="H81" i="1" s="1"/>
  <c r="I81" i="1" s="1"/>
  <c r="H83" i="2" l="1"/>
  <c r="I83" i="2" s="1"/>
  <c r="H82" i="2"/>
  <c r="I82" i="2" s="1"/>
  <c r="H81" i="2"/>
  <c r="I81" i="2" s="1"/>
  <c r="N28" i="2" l="1"/>
  <c r="O28" i="2"/>
  <c r="P28" i="2"/>
  <c r="N29" i="2"/>
  <c r="O29" i="2"/>
  <c r="P29" i="2"/>
  <c r="N30" i="2"/>
  <c r="O30" i="2"/>
  <c r="P30" i="2"/>
  <c r="N31" i="2"/>
  <c r="O31" i="2"/>
  <c r="P31" i="2"/>
  <c r="N32" i="2"/>
  <c r="O32" i="2"/>
  <c r="P32" i="2"/>
  <c r="N33" i="2"/>
  <c r="O33" i="2"/>
  <c r="P33" i="2"/>
  <c r="N34" i="2"/>
  <c r="O34" i="2"/>
  <c r="P34" i="2"/>
  <c r="N35" i="2"/>
  <c r="O35" i="2"/>
  <c r="P35" i="2"/>
  <c r="N36" i="2"/>
  <c r="O36" i="2"/>
  <c r="P36" i="2"/>
  <c r="N37" i="2"/>
  <c r="O37" i="2"/>
  <c r="P37" i="2"/>
  <c r="N38" i="2"/>
  <c r="O38" i="2"/>
  <c r="P38" i="2"/>
  <c r="N39" i="2"/>
  <c r="O39" i="2"/>
  <c r="P39" i="2"/>
  <c r="N40" i="2"/>
  <c r="O40" i="2"/>
  <c r="P40" i="2"/>
  <c r="N41" i="2"/>
  <c r="O41" i="2"/>
  <c r="P41" i="2"/>
  <c r="Q41" i="2"/>
  <c r="N42" i="2"/>
  <c r="O42" i="2"/>
  <c r="P42" i="2"/>
  <c r="M29" i="2"/>
  <c r="M30" i="2"/>
  <c r="M31" i="2"/>
  <c r="M32" i="2"/>
  <c r="M33" i="2"/>
  <c r="M34" i="2"/>
  <c r="M35" i="2"/>
  <c r="M36" i="2"/>
  <c r="M37" i="2"/>
  <c r="M38" i="2"/>
  <c r="M39" i="2"/>
  <c r="M40" i="2"/>
  <c r="M41" i="2"/>
  <c r="M42" i="2"/>
  <c r="M28" i="2"/>
  <c r="G61" i="2"/>
  <c r="F62" i="2"/>
  <c r="G60" i="2"/>
  <c r="G59" i="2"/>
  <c r="G58" i="2"/>
  <c r="G57" i="2"/>
  <c r="G49" i="2"/>
  <c r="G50" i="2"/>
  <c r="G51" i="2"/>
  <c r="G52" i="2"/>
  <c r="G53" i="2"/>
  <c r="G54" i="2"/>
  <c r="G55" i="2"/>
  <c r="G56" i="2"/>
  <c r="G47" i="2" s="1"/>
  <c r="G62" i="2" s="1"/>
  <c r="H52" i="2"/>
  <c r="H60" i="2"/>
  <c r="H61" i="2"/>
  <c r="H50" i="2"/>
  <c r="H51" i="2"/>
  <c r="Q33" i="2"/>
  <c r="H53" i="2"/>
  <c r="H54" i="2"/>
  <c r="H55" i="2"/>
  <c r="Q37" i="2"/>
  <c r="Q38" i="2"/>
  <c r="H58" i="2"/>
  <c r="H59" i="2"/>
  <c r="Q42" i="2"/>
  <c r="Q28" i="2"/>
  <c r="E48" i="2"/>
  <c r="F70" i="1"/>
  <c r="Q39" i="2" l="1"/>
  <c r="Q32" i="2"/>
  <c r="Q40" i="2"/>
  <c r="H56" i="2"/>
  <c r="H47" i="2" s="1"/>
  <c r="Q35" i="2"/>
  <c r="Q31" i="2"/>
  <c r="Q29" i="2"/>
  <c r="H57" i="2"/>
  <c r="Q36" i="2"/>
  <c r="Q34" i="2"/>
  <c r="Q30" i="2"/>
  <c r="H62" i="2" l="1"/>
  <c r="F68" i="1"/>
  <c r="G60" i="1"/>
  <c r="H49" i="1"/>
  <c r="H48" i="1"/>
  <c r="H47" i="1"/>
  <c r="D49" i="1"/>
  <c r="D48" i="1"/>
  <c r="D47" i="1"/>
  <c r="F89" i="2" l="1"/>
  <c r="F48" i="2" l="1"/>
  <c r="D48" i="2"/>
  <c r="C48" i="2"/>
  <c r="P99" i="2" l="1"/>
  <c r="O99" i="2"/>
  <c r="N99" i="2"/>
  <c r="M99" i="2"/>
  <c r="P98" i="2"/>
  <c r="O98" i="2"/>
  <c r="N98" i="2"/>
  <c r="M98" i="2"/>
  <c r="P97" i="2"/>
  <c r="O97" i="2"/>
  <c r="N97" i="2"/>
  <c r="M97" i="2"/>
  <c r="P96" i="2"/>
  <c r="O96" i="2"/>
  <c r="N96" i="2"/>
  <c r="M96" i="2"/>
  <c r="P94" i="2"/>
  <c r="O94" i="2"/>
  <c r="N94" i="2"/>
  <c r="M94" i="2"/>
  <c r="P93" i="2"/>
  <c r="O93" i="2"/>
  <c r="N93" i="2"/>
  <c r="M93" i="2"/>
  <c r="P92" i="2"/>
  <c r="O92" i="2"/>
  <c r="N92" i="2"/>
  <c r="M92" i="2"/>
  <c r="P91" i="2"/>
  <c r="O91" i="2"/>
  <c r="N91" i="2"/>
  <c r="M91" i="2"/>
  <c r="P90" i="2"/>
  <c r="O90" i="2"/>
  <c r="N90" i="2"/>
  <c r="M90" i="2"/>
  <c r="P89" i="2"/>
  <c r="O89" i="2"/>
  <c r="N89" i="2"/>
  <c r="M89" i="2"/>
  <c r="R84" i="2"/>
  <c r="S84" i="2" s="1"/>
  <c r="Q84" i="2"/>
  <c r="P84" i="2"/>
  <c r="R83" i="2"/>
  <c r="S83" i="2" s="1"/>
  <c r="Q83" i="2"/>
  <c r="P83" i="2"/>
  <c r="R82" i="2"/>
  <c r="S82" i="2" s="1"/>
  <c r="Q82" i="2"/>
  <c r="P82" i="2"/>
  <c r="R81" i="2"/>
  <c r="S81" i="2" s="1"/>
  <c r="Q81" i="2"/>
  <c r="P72" i="2"/>
  <c r="O72" i="2"/>
  <c r="N72" i="2"/>
  <c r="P71" i="2"/>
  <c r="O71" i="2"/>
  <c r="N71" i="2"/>
  <c r="P70" i="2"/>
  <c r="O70" i="2"/>
  <c r="N70" i="2"/>
  <c r="P69" i="2"/>
  <c r="O69" i="2"/>
  <c r="N69" i="2"/>
  <c r="P68" i="2"/>
  <c r="O68" i="2"/>
  <c r="N68" i="2"/>
  <c r="R61" i="2"/>
  <c r="Q61" i="2"/>
  <c r="F61" i="2"/>
  <c r="P61" i="2" s="1"/>
  <c r="E61" i="2"/>
  <c r="O61" i="2" s="1"/>
  <c r="D61" i="2"/>
  <c r="N61" i="2" s="1"/>
  <c r="C61" i="2"/>
  <c r="M61" i="2" s="1"/>
  <c r="R60" i="2"/>
  <c r="Q60" i="2"/>
  <c r="F60" i="2"/>
  <c r="P60" i="2" s="1"/>
  <c r="E60" i="2"/>
  <c r="O60" i="2" s="1"/>
  <c r="D60" i="2"/>
  <c r="N60" i="2" s="1"/>
  <c r="C60" i="2"/>
  <c r="M60" i="2" s="1"/>
  <c r="R59" i="2"/>
  <c r="Q59" i="2"/>
  <c r="F59" i="2"/>
  <c r="P59" i="2" s="1"/>
  <c r="E59" i="2"/>
  <c r="O59" i="2" s="1"/>
  <c r="D59" i="2"/>
  <c r="N59" i="2" s="1"/>
  <c r="C59" i="2"/>
  <c r="M59" i="2" s="1"/>
  <c r="R58" i="2"/>
  <c r="Q58" i="2"/>
  <c r="F58" i="2"/>
  <c r="P58" i="2" s="1"/>
  <c r="E58" i="2"/>
  <c r="O58" i="2" s="1"/>
  <c r="D58" i="2"/>
  <c r="C58" i="2"/>
  <c r="M58" i="2" s="1"/>
  <c r="R56" i="2"/>
  <c r="Q56" i="2"/>
  <c r="F56" i="2"/>
  <c r="P56" i="2" s="1"/>
  <c r="E56" i="2"/>
  <c r="O56" i="2" s="1"/>
  <c r="D56" i="2"/>
  <c r="N56" i="2" s="1"/>
  <c r="C56" i="2"/>
  <c r="M56" i="2" s="1"/>
  <c r="R55" i="2"/>
  <c r="Q55" i="2"/>
  <c r="F55" i="2"/>
  <c r="P55" i="2" s="1"/>
  <c r="E55" i="2"/>
  <c r="O55" i="2" s="1"/>
  <c r="D55" i="2"/>
  <c r="N55" i="2" s="1"/>
  <c r="C55" i="2"/>
  <c r="M55" i="2" s="1"/>
  <c r="R54" i="2"/>
  <c r="Q54" i="2"/>
  <c r="F54" i="2"/>
  <c r="P54" i="2" s="1"/>
  <c r="E54" i="2"/>
  <c r="O54" i="2" s="1"/>
  <c r="D54" i="2"/>
  <c r="N54" i="2" s="1"/>
  <c r="C54" i="2"/>
  <c r="M54" i="2" s="1"/>
  <c r="R53" i="2"/>
  <c r="Q53" i="2"/>
  <c r="F53" i="2"/>
  <c r="P53" i="2" s="1"/>
  <c r="E53" i="2"/>
  <c r="O53" i="2" s="1"/>
  <c r="D53" i="2"/>
  <c r="N53" i="2" s="1"/>
  <c r="C53" i="2"/>
  <c r="M53" i="2" s="1"/>
  <c r="R52" i="2"/>
  <c r="Q52" i="2"/>
  <c r="F52" i="2"/>
  <c r="P52" i="2" s="1"/>
  <c r="E52" i="2"/>
  <c r="O52" i="2" s="1"/>
  <c r="D52" i="2"/>
  <c r="N52" i="2" s="1"/>
  <c r="C52" i="2"/>
  <c r="M52" i="2" s="1"/>
  <c r="R51" i="2"/>
  <c r="Q51" i="2"/>
  <c r="F51" i="2"/>
  <c r="P51" i="2" s="1"/>
  <c r="E51" i="2"/>
  <c r="O51" i="2" s="1"/>
  <c r="D51" i="2"/>
  <c r="N51" i="2" s="1"/>
  <c r="C51" i="2"/>
  <c r="M51" i="2" s="1"/>
  <c r="R50" i="2"/>
  <c r="Q50" i="2"/>
  <c r="F50" i="2"/>
  <c r="P50" i="2" s="1"/>
  <c r="E50" i="2"/>
  <c r="O50" i="2" s="1"/>
  <c r="D50" i="2"/>
  <c r="N50" i="2" s="1"/>
  <c r="C50" i="2"/>
  <c r="M50" i="2" s="1"/>
  <c r="R49" i="2"/>
  <c r="Q49" i="2"/>
  <c r="F49" i="2"/>
  <c r="P49" i="2" s="1"/>
  <c r="E49" i="2"/>
  <c r="O49" i="2" s="1"/>
  <c r="D49" i="2"/>
  <c r="N49" i="2" s="1"/>
  <c r="C49" i="2"/>
  <c r="M49" i="2" s="1"/>
  <c r="M48" i="2"/>
  <c r="R48" i="2"/>
  <c r="Q48" i="2"/>
  <c r="P48" i="2"/>
  <c r="O48" i="2"/>
  <c r="N48" i="2"/>
  <c r="P23" i="2"/>
  <c r="O23" i="2"/>
  <c r="N23" i="2"/>
  <c r="M23" i="2"/>
  <c r="P22" i="2"/>
  <c r="O22" i="2"/>
  <c r="N22" i="2"/>
  <c r="M22" i="2"/>
  <c r="P21" i="2"/>
  <c r="O21" i="2"/>
  <c r="N21" i="2"/>
  <c r="M21" i="2"/>
  <c r="P20" i="2"/>
  <c r="O20" i="2"/>
  <c r="N20" i="2"/>
  <c r="M20" i="2"/>
  <c r="P19" i="2"/>
  <c r="O19" i="2"/>
  <c r="N19" i="2"/>
  <c r="M19" i="2"/>
  <c r="Q12" i="2"/>
  <c r="M12" i="2"/>
  <c r="Q11" i="2"/>
  <c r="M11" i="2"/>
  <c r="Q10" i="2"/>
  <c r="M10" i="2"/>
  <c r="Q9" i="2"/>
  <c r="M9" i="2"/>
  <c r="Q8" i="2"/>
  <c r="M8" i="2"/>
  <c r="Q7" i="2"/>
  <c r="M7" i="2"/>
  <c r="Q6" i="2"/>
  <c r="M6" i="2"/>
  <c r="S81" i="1"/>
  <c r="S80" i="1"/>
  <c r="P68" i="1"/>
  <c r="R81" i="1"/>
  <c r="R80" i="1"/>
  <c r="R79" i="1"/>
  <c r="O81" i="1"/>
  <c r="O80" i="1"/>
  <c r="Q82" i="1"/>
  <c r="Q81" i="1"/>
  <c r="Q80" i="1"/>
  <c r="Q79" i="1"/>
  <c r="P82" i="1"/>
  <c r="P81" i="1"/>
  <c r="P80" i="1"/>
  <c r="P79" i="1"/>
  <c r="O82" i="1"/>
  <c r="H58" i="1"/>
  <c r="R58" i="1" s="1"/>
  <c r="H59" i="1"/>
  <c r="R59" i="1" s="1"/>
  <c r="H60" i="1"/>
  <c r="H57" i="1"/>
  <c r="R49" i="1"/>
  <c r="H50" i="1"/>
  <c r="H51" i="1"/>
  <c r="R51" i="1" s="1"/>
  <c r="R52" i="1"/>
  <c r="H53" i="1"/>
  <c r="R53" i="1" s="1"/>
  <c r="H54" i="1"/>
  <c r="R54" i="1" s="1"/>
  <c r="H55" i="1"/>
  <c r="R55" i="1" s="1"/>
  <c r="R48" i="1"/>
  <c r="R47" i="1"/>
  <c r="Q60" i="1"/>
  <c r="G59" i="1"/>
  <c r="Q59" i="1" s="1"/>
  <c r="G58" i="1"/>
  <c r="Q58" i="1" s="1"/>
  <c r="G57" i="1"/>
  <c r="Q57" i="1" s="1"/>
  <c r="G55" i="1"/>
  <c r="Q55" i="1" s="1"/>
  <c r="G54" i="1"/>
  <c r="Q54" i="1" s="1"/>
  <c r="G53" i="1"/>
  <c r="Q53" i="1" s="1"/>
  <c r="G52" i="1"/>
  <c r="Q52" i="1" s="1"/>
  <c r="G51" i="1"/>
  <c r="Q51" i="1" s="1"/>
  <c r="G50" i="1"/>
  <c r="Q50" i="1" s="1"/>
  <c r="G49" i="1"/>
  <c r="Q49" i="1" s="1"/>
  <c r="G48" i="1"/>
  <c r="Q48" i="1" s="1"/>
  <c r="G47" i="1"/>
  <c r="F48" i="1"/>
  <c r="P48" i="1" s="1"/>
  <c r="F49" i="1"/>
  <c r="P49" i="1" s="1"/>
  <c r="F50" i="1"/>
  <c r="P50" i="1" s="1"/>
  <c r="F51" i="1"/>
  <c r="P51" i="1" s="1"/>
  <c r="F52" i="1"/>
  <c r="P52" i="1" s="1"/>
  <c r="F53" i="1"/>
  <c r="P53" i="1" s="1"/>
  <c r="F54" i="1"/>
  <c r="F55" i="1"/>
  <c r="P55" i="1" s="1"/>
  <c r="F47" i="1"/>
  <c r="P47" i="1" s="1"/>
  <c r="E58" i="1"/>
  <c r="E59" i="1"/>
  <c r="O59" i="1" s="1"/>
  <c r="E60" i="1"/>
  <c r="O60" i="1" s="1"/>
  <c r="E57" i="1"/>
  <c r="O57" i="1" s="1"/>
  <c r="E48" i="1"/>
  <c r="O48" i="1" s="1"/>
  <c r="E49" i="1"/>
  <c r="E50" i="1"/>
  <c r="O50" i="1" s="1"/>
  <c r="E51" i="1"/>
  <c r="O51" i="1" s="1"/>
  <c r="E52" i="1"/>
  <c r="O52" i="1" s="1"/>
  <c r="E53" i="1"/>
  <c r="O53" i="1" s="1"/>
  <c r="E54" i="1"/>
  <c r="O54" i="1" s="1"/>
  <c r="E55" i="1"/>
  <c r="O55" i="1" s="1"/>
  <c r="E47" i="1"/>
  <c r="D58" i="1"/>
  <c r="N58" i="1" s="1"/>
  <c r="D59" i="1"/>
  <c r="N59" i="1" s="1"/>
  <c r="D60" i="1"/>
  <c r="N60" i="1" s="1"/>
  <c r="D57" i="1"/>
  <c r="N57" i="1" s="1"/>
  <c r="N48" i="1"/>
  <c r="N49" i="1"/>
  <c r="D50" i="1"/>
  <c r="N50" i="1" s="1"/>
  <c r="D51" i="1"/>
  <c r="N51" i="1" s="1"/>
  <c r="D52" i="1"/>
  <c r="N52" i="1" s="1"/>
  <c r="D53" i="1"/>
  <c r="N53" i="1" s="1"/>
  <c r="D54" i="1"/>
  <c r="D55" i="1"/>
  <c r="N55" i="1" s="1"/>
  <c r="C58" i="1"/>
  <c r="C59" i="1"/>
  <c r="M59" i="1" s="1"/>
  <c r="C60" i="1"/>
  <c r="M60" i="1" s="1"/>
  <c r="C57" i="1"/>
  <c r="C48" i="1"/>
  <c r="C49" i="1"/>
  <c r="M49" i="1" s="1"/>
  <c r="C50" i="1"/>
  <c r="M50" i="1" s="1"/>
  <c r="C51" i="1"/>
  <c r="M51" i="1" s="1"/>
  <c r="C52" i="1"/>
  <c r="M52" i="1" s="1"/>
  <c r="C53" i="1"/>
  <c r="M53" i="1" s="1"/>
  <c r="C54" i="1"/>
  <c r="M54" i="1" s="1"/>
  <c r="C55" i="1"/>
  <c r="M55" i="1" s="1"/>
  <c r="M47" i="1"/>
  <c r="F58" i="1"/>
  <c r="P58" i="1" s="1"/>
  <c r="F59" i="1"/>
  <c r="P59" i="1" s="1"/>
  <c r="F60" i="1"/>
  <c r="P60" i="1" s="1"/>
  <c r="F57" i="1"/>
  <c r="P57" i="1" s="1"/>
  <c r="O49" i="1"/>
  <c r="N54" i="1"/>
  <c r="P70" i="1"/>
  <c r="P71" i="1"/>
  <c r="P67" i="1"/>
  <c r="Q20" i="1"/>
  <c r="N68" i="1"/>
  <c r="O68" i="1"/>
  <c r="N69" i="1"/>
  <c r="O69" i="1"/>
  <c r="N70" i="1"/>
  <c r="O70" i="1"/>
  <c r="N71" i="1"/>
  <c r="O71" i="1"/>
  <c r="O67" i="1"/>
  <c r="N67" i="1"/>
  <c r="R60" i="1"/>
  <c r="P54" i="1"/>
  <c r="M18" i="1"/>
  <c r="M22" i="1"/>
  <c r="Q22" i="1"/>
  <c r="P20" i="1"/>
  <c r="N18" i="1"/>
  <c r="M19" i="1"/>
  <c r="N19" i="1"/>
  <c r="M20" i="1"/>
  <c r="N20" i="1"/>
  <c r="M21" i="1"/>
  <c r="N21" i="1"/>
  <c r="N22" i="1"/>
  <c r="O19" i="1"/>
  <c r="O20" i="1"/>
  <c r="O21" i="1"/>
  <c r="O22" i="1"/>
  <c r="O18" i="1"/>
  <c r="N11" i="1"/>
  <c r="Q19" i="1"/>
  <c r="Q21" i="1"/>
  <c r="P19" i="1"/>
  <c r="P21" i="1"/>
  <c r="P22" i="1"/>
  <c r="P18" i="1"/>
  <c r="O11" i="1"/>
  <c r="P6" i="1"/>
  <c r="P7" i="1"/>
  <c r="P8" i="1"/>
  <c r="P9" i="1"/>
  <c r="P10" i="1"/>
  <c r="P11" i="1"/>
  <c r="P12" i="1"/>
  <c r="O7" i="1"/>
  <c r="O8" i="1"/>
  <c r="O9" i="1"/>
  <c r="O10" i="1"/>
  <c r="O12" i="1"/>
  <c r="O6" i="1"/>
  <c r="N6" i="1"/>
  <c r="N7" i="1"/>
  <c r="N8" i="1"/>
  <c r="N9" i="1"/>
  <c r="N10" i="1"/>
  <c r="N12" i="1"/>
  <c r="M7" i="1"/>
  <c r="M8" i="1"/>
  <c r="M9" i="1"/>
  <c r="M10" i="1"/>
  <c r="M11" i="1"/>
  <c r="M12" i="1"/>
  <c r="M6" i="1"/>
  <c r="R50" i="1" l="1"/>
  <c r="H46" i="1"/>
  <c r="G46" i="1"/>
  <c r="E57" i="2"/>
  <c r="O57" i="2" s="1"/>
  <c r="C57" i="2"/>
  <c r="M57" i="2" s="1"/>
  <c r="D57" i="2"/>
  <c r="N57" i="2" s="1"/>
  <c r="F57" i="2"/>
  <c r="P57" i="2" s="1"/>
  <c r="N58" i="2"/>
  <c r="E47" i="2"/>
  <c r="O47" i="2" s="1"/>
  <c r="C47" i="2"/>
  <c r="M47" i="2" s="1"/>
  <c r="F47" i="2"/>
  <c r="P47" i="2" s="1"/>
  <c r="S82" i="1"/>
  <c r="R82" i="1"/>
  <c r="Q47" i="2"/>
  <c r="D47" i="2"/>
  <c r="N47" i="2" s="1"/>
  <c r="R47" i="2"/>
  <c r="F56" i="1"/>
  <c r="P56" i="1" s="1"/>
  <c r="G56" i="1"/>
  <c r="Q56" i="1" s="1"/>
  <c r="Q47" i="1"/>
  <c r="H56" i="1"/>
  <c r="R56" i="1" s="1"/>
  <c r="E56" i="1"/>
  <c r="O56" i="1" s="1"/>
  <c r="D46" i="1"/>
  <c r="N46" i="1" s="1"/>
  <c r="O58" i="1"/>
  <c r="C56" i="1"/>
  <c r="M56" i="1" s="1"/>
  <c r="C46" i="1"/>
  <c r="M46" i="1" s="1"/>
  <c r="R57" i="1"/>
  <c r="F46" i="1"/>
  <c r="E46" i="1"/>
  <c r="O46" i="1" s="1"/>
  <c r="O47" i="1"/>
  <c r="D56" i="1"/>
  <c r="N56" i="1" s="1"/>
  <c r="N47" i="1"/>
  <c r="M58" i="1"/>
  <c r="M57" i="1"/>
  <c r="M48" i="1"/>
  <c r="C62" i="2" l="1"/>
  <c r="M62" i="2" s="1"/>
  <c r="E62" i="2"/>
  <c r="O62" i="2" s="1"/>
  <c r="D62" i="2"/>
  <c r="N62" i="2" s="1"/>
  <c r="P62" i="2"/>
  <c r="R62" i="2"/>
  <c r="R57" i="2"/>
  <c r="F61" i="1"/>
  <c r="P61" i="1" s="1"/>
  <c r="C61" i="1"/>
  <c r="M61" i="1" s="1"/>
  <c r="E61" i="1"/>
  <c r="O61" i="1" s="1"/>
  <c r="R46" i="1"/>
  <c r="H61" i="1"/>
  <c r="R61" i="1" s="1"/>
  <c r="Q46" i="1"/>
  <c r="G61" i="1"/>
  <c r="Q61" i="1" s="1"/>
  <c r="P46" i="1"/>
  <c r="D61" i="1"/>
  <c r="N61" i="1" s="1"/>
  <c r="Q62" i="2"/>
  <c r="Q57" i="2"/>
  <c r="P6" i="2"/>
  <c r="P10" i="2"/>
  <c r="P9" i="2"/>
  <c r="P7" i="2"/>
  <c r="P8" i="2"/>
  <c r="P11" i="2"/>
  <c r="P12" i="2"/>
</calcChain>
</file>

<file path=xl/sharedStrings.xml><?xml version="1.0" encoding="utf-8"?>
<sst xmlns="http://schemas.openxmlformats.org/spreadsheetml/2006/main" count="641" uniqueCount="319">
  <si>
    <t>Mix de culturas</t>
  </si>
  <si>
    <t>Área plantada</t>
  </si>
  <si>
    <t>Área Plantada</t>
  </si>
  <si>
    <t>Participação</t>
  </si>
  <si>
    <t>Δ%</t>
  </si>
  <si>
    <t>Crop Mix</t>
  </si>
  <si>
    <t>Planted Area</t>
  </si>
  <si>
    <t>Share</t>
  </si>
  <si>
    <t>2021/22</t>
  </si>
  <si>
    <t>2022/23</t>
  </si>
  <si>
    <t>------------------ha ------------------</t>
  </si>
  <si>
    <t>%</t>
  </si>
  <si>
    <t>Algodão</t>
  </si>
  <si>
    <t>Cotton</t>
  </si>
  <si>
    <t>Soja (Comercial + Semente)</t>
  </si>
  <si>
    <t>Soybean (Commercial + Seed)</t>
  </si>
  <si>
    <t>Milho 2ª safra</t>
  </si>
  <si>
    <r>
      <t>Corn 2</t>
    </r>
    <r>
      <rPr>
        <b/>
        <vertAlign val="superscript"/>
        <sz val="7"/>
        <color rgb="FF404040"/>
        <rFont val="Montserrat"/>
      </rPr>
      <t>nd</t>
    </r>
    <r>
      <rPr>
        <b/>
        <sz val="7"/>
        <color rgb="FF404040"/>
        <rFont val="Montserrat"/>
      </rPr>
      <t xml:space="preserve"> crop</t>
    </r>
  </si>
  <si>
    <r>
      <t>Outras culturas</t>
    </r>
    <r>
      <rPr>
        <vertAlign val="superscript"/>
        <sz val="7"/>
        <color rgb="FF404040"/>
        <rFont val="Montserrat"/>
      </rPr>
      <t xml:space="preserve"> (2)</t>
    </r>
  </si>
  <si>
    <r>
      <t>Other Crops</t>
    </r>
    <r>
      <rPr>
        <vertAlign val="superscript"/>
        <sz val="7"/>
        <color rgb="FF404040"/>
        <rFont val="Montserrat"/>
      </rPr>
      <t xml:space="preserve"> (2)</t>
    </r>
  </si>
  <si>
    <t>Área Total</t>
  </si>
  <si>
    <t>Total Area</t>
  </si>
  <si>
    <r>
      <t>(1)</t>
    </r>
    <r>
      <rPr>
        <i/>
        <sz val="6"/>
        <color rgb="FF404040"/>
        <rFont val="Montserrat"/>
      </rPr>
      <t xml:space="preserve"> Fatores climáticos poderão afetar a projeção de área plantada.</t>
    </r>
  </si>
  <si>
    <t>(1) Weather factors may affect the planted area forecast.</t>
  </si>
  <si>
    <t>Produtividade (kg/ha)</t>
  </si>
  <si>
    <t xml:space="preserve">Safra 2021/22 </t>
  </si>
  <si>
    <t>Safra 2022/23</t>
  </si>
  <si>
    <t>∆%</t>
  </si>
  <si>
    <t>Yield (kg/ha)</t>
  </si>
  <si>
    <t xml:space="preserve">2021/22 Crop Year </t>
  </si>
  <si>
    <t>2022/23 Crop Year</t>
  </si>
  <si>
    <t>Realizado (a)</t>
  </si>
  <si>
    <t>Orçado (b)</t>
  </si>
  <si>
    <t>Forecast (c)</t>
  </si>
  <si>
    <t>(c) x (a)</t>
  </si>
  <si>
    <t>(c) x (b)</t>
  </si>
  <si>
    <t>Achieved (a)</t>
  </si>
  <si>
    <t>Budget (b)</t>
  </si>
  <si>
    <t>Forecast(c)</t>
  </si>
  <si>
    <t>Algodão em pluma 1ª safra</t>
  </si>
  <si>
    <r>
      <t>Cotton lint 1</t>
    </r>
    <r>
      <rPr>
        <vertAlign val="superscript"/>
        <sz val="7"/>
        <color rgb="FF404040"/>
        <rFont val="Montserrat"/>
      </rPr>
      <t>st</t>
    </r>
    <r>
      <rPr>
        <sz val="7"/>
        <color rgb="FF404040"/>
        <rFont val="Montserrat"/>
      </rPr>
      <t xml:space="preserve"> crop</t>
    </r>
  </si>
  <si>
    <t>Algodão em pluma 2ª safra</t>
  </si>
  <si>
    <t>Caroço de algodão</t>
  </si>
  <si>
    <r>
      <t>Corn 2</t>
    </r>
    <r>
      <rPr>
        <vertAlign val="superscript"/>
        <sz val="7"/>
        <color rgb="FF404040"/>
        <rFont val="Montserrat"/>
      </rPr>
      <t>nd</t>
    </r>
    <r>
      <rPr>
        <sz val="7"/>
        <color rgb="FF404040"/>
        <rFont val="Montserrat"/>
      </rPr>
      <t xml:space="preserve"> crop</t>
    </r>
  </si>
  <si>
    <t>Soja</t>
  </si>
  <si>
    <t>Milho</t>
  </si>
  <si>
    <t>Soybean</t>
  </si>
  <si>
    <t>Corn</t>
  </si>
  <si>
    <t>Custos Variáveis</t>
  </si>
  <si>
    <t>Variable Costs</t>
  </si>
  <si>
    <t>74.8</t>
  </si>
  <si>
    <t>79.6</t>
  </si>
  <si>
    <t>Sementes</t>
  </si>
  <si>
    <t>Seeds</t>
  </si>
  <si>
    <t>12.7</t>
  </si>
  <si>
    <t>Fertilizantes</t>
  </si>
  <si>
    <t>Fertilizers</t>
  </si>
  <si>
    <t>25.4</t>
  </si>
  <si>
    <t>Defensivos</t>
  </si>
  <si>
    <t>Chemicals</t>
  </si>
  <si>
    <t>18.8</t>
  </si>
  <si>
    <t>Pulverização Aérea</t>
  </si>
  <si>
    <t>Air Spraying</t>
  </si>
  <si>
    <t>1.7</t>
  </si>
  <si>
    <t>1.5</t>
  </si>
  <si>
    <t>1.3</t>
  </si>
  <si>
    <t>Combustíveis e lubrificantes</t>
  </si>
  <si>
    <t>Fuels and Lubricants</t>
  </si>
  <si>
    <t>3.6</t>
  </si>
  <si>
    <t>4.3</t>
  </si>
  <si>
    <t>4.6</t>
  </si>
  <si>
    <t>Mão-de-obra</t>
  </si>
  <si>
    <t>Labor</t>
  </si>
  <si>
    <t>0.8</t>
  </si>
  <si>
    <t>Beneficiamento</t>
  </si>
  <si>
    <t>Ginning</t>
  </si>
  <si>
    <t>2.4</t>
  </si>
  <si>
    <t>4.8</t>
  </si>
  <si>
    <t>Manutenção de máquinas e implementos</t>
  </si>
  <si>
    <t>Maintenance</t>
  </si>
  <si>
    <t>4.4</t>
  </si>
  <si>
    <t>3.8</t>
  </si>
  <si>
    <t>2.9</t>
  </si>
  <si>
    <t>4.1</t>
  </si>
  <si>
    <t>Outros</t>
  </si>
  <si>
    <t>Others</t>
  </si>
  <si>
    <t>8.1</t>
  </si>
  <si>
    <t>7.1</t>
  </si>
  <si>
    <t>Custos Fixos</t>
  </si>
  <si>
    <t>Fixed Costs</t>
  </si>
  <si>
    <t>25.2</t>
  </si>
  <si>
    <t>20.4</t>
  </si>
  <si>
    <t>5.7</t>
  </si>
  <si>
    <t>7.2</t>
  </si>
  <si>
    <t>Depreciações e amortizações</t>
  </si>
  <si>
    <t>Depreciation and amortizations</t>
  </si>
  <si>
    <t>Amortização do Direito de Uso -Arrendamentos</t>
  </si>
  <si>
    <t>8.5</t>
  </si>
  <si>
    <t>6.2</t>
  </si>
  <si>
    <t>2.6</t>
  </si>
  <si>
    <t>Table – Production Cost – Breakdown in % and R$ per hectare – 2022/23 Crop Year</t>
  </si>
  <si>
    <t> R$/ha</t>
  </si>
  <si>
    <t>Algodão Orçado</t>
  </si>
  <si>
    <t>Soja Orçado</t>
  </si>
  <si>
    <t>Milho Orçado</t>
  </si>
  <si>
    <t>Média  Orçado</t>
  </si>
  <si>
    <t>Média Orçado</t>
  </si>
  <si>
    <t>Cotton Butdget</t>
  </si>
  <si>
    <t>Soybean
Budget</t>
  </si>
  <si>
    <t>Corn Budget</t>
  </si>
  <si>
    <t>Average Budget</t>
  </si>
  <si>
    <t>1 ª safra</t>
  </si>
  <si>
    <t>2ª safra</t>
  </si>
  <si>
    <t>2ª Safra</t>
  </si>
  <si>
    <r>
      <t>1</t>
    </r>
    <r>
      <rPr>
        <b/>
        <vertAlign val="superscript"/>
        <sz val="8"/>
        <color rgb="FF404040"/>
        <rFont val="Calibri Light"/>
        <family val="2"/>
      </rPr>
      <t>st</t>
    </r>
    <r>
      <rPr>
        <b/>
        <sz val="8"/>
        <color rgb="FF404040"/>
        <rFont val="Calibri Light"/>
        <family val="2"/>
      </rPr>
      <t xml:space="preserve"> crop</t>
    </r>
  </si>
  <si>
    <r>
      <t>2</t>
    </r>
    <r>
      <rPr>
        <b/>
        <vertAlign val="superscript"/>
        <sz val="8"/>
        <color rgb="FF404040"/>
        <rFont val="Calibri Light"/>
        <family val="2"/>
      </rPr>
      <t>nd</t>
    </r>
    <r>
      <rPr>
        <b/>
        <sz val="8"/>
        <color rgb="FF404040"/>
        <rFont val="Calibri Light"/>
        <family val="2"/>
      </rPr>
      <t xml:space="preserve"> crop</t>
    </r>
  </si>
  <si>
    <t>Crop protection</t>
  </si>
  <si>
    <t>Aerial Spraying</t>
  </si>
  <si>
    <t>Fuels and lubrificants</t>
  </si>
  <si>
    <t>Maintenance of machines and implements</t>
  </si>
  <si>
    <t>Depreciation e amortization</t>
  </si>
  <si>
    <t>Right-of-Use Amortization - Leasing</t>
  </si>
  <si>
    <t>Total</t>
  </si>
  <si>
    <t>Total (R$/ha)</t>
  </si>
  <si>
    <t>Orçado 2022/23</t>
  </si>
  <si>
    <t>Budget 2023/22</t>
  </si>
  <si>
    <t xml:space="preserve">Custo médio total </t>
  </si>
  <si>
    <t>Total average cost</t>
  </si>
  <si>
    <t>Produtividade</t>
  </si>
  <si>
    <t>Custo</t>
  </si>
  <si>
    <t>R$/Kg</t>
  </si>
  <si>
    <r>
      <t>Budget Cost (R$/ha)</t>
    </r>
    <r>
      <rPr>
        <b/>
        <vertAlign val="superscript"/>
        <sz val="7"/>
        <color rgb="FF404040"/>
        <rFont val="Montserrat"/>
      </rPr>
      <t xml:space="preserve"> </t>
    </r>
  </si>
  <si>
    <t xml:space="preserve">Budget </t>
  </si>
  <si>
    <t>Yield</t>
  </si>
  <si>
    <t>Cost</t>
  </si>
  <si>
    <r>
      <t xml:space="preserve"> Orçado (R$/ha)</t>
    </r>
    <r>
      <rPr>
        <b/>
        <vertAlign val="superscript"/>
        <sz val="7"/>
        <color rgb="FF404040"/>
        <rFont val="Montserrat"/>
      </rPr>
      <t xml:space="preserve"> </t>
    </r>
  </si>
  <si>
    <t>Orçado (a)</t>
  </si>
  <si>
    <t>b x a</t>
  </si>
  <si>
    <t>R$/Kg (a)</t>
  </si>
  <si>
    <t>R$/Kg (b)</t>
  </si>
  <si>
    <t>(R$/ha)</t>
  </si>
  <si>
    <r>
      <t>Soja</t>
    </r>
    <r>
      <rPr>
        <vertAlign val="superscript"/>
        <sz val="6"/>
        <color rgb="FF404040"/>
        <rFont val="Montserrat"/>
      </rPr>
      <t>(1)</t>
    </r>
  </si>
  <si>
    <r>
      <t>Soybean</t>
    </r>
    <r>
      <rPr>
        <vertAlign val="superscript"/>
        <sz val="7"/>
        <color rgb="FF404040"/>
        <rFont val="Montserrat"/>
      </rPr>
      <t>(1)</t>
    </r>
  </si>
  <si>
    <t>(1) Inclusos os custos com produção de sementes.</t>
  </si>
  <si>
    <t>(1) Including seed production costs</t>
  </si>
  <si>
    <t>Tabela – Parque de máquinas e Capacidade de Armazenagem</t>
  </si>
  <si>
    <t>Table –Machinery Base and Storage Capacity</t>
  </si>
  <si>
    <r>
      <t> </t>
    </r>
    <r>
      <rPr>
        <sz val="7"/>
        <color rgb="FF404040"/>
        <rFont val="Montserrat"/>
      </rPr>
      <t> </t>
    </r>
  </si>
  <si>
    <r>
      <t>2021</t>
    </r>
    <r>
      <rPr>
        <sz val="7"/>
        <color rgb="FF404040"/>
        <rFont val="Montserrat"/>
      </rPr>
      <t> </t>
    </r>
  </si>
  <si>
    <r>
      <t>Maquinário (quantidade)</t>
    </r>
    <r>
      <rPr>
        <sz val="7"/>
        <color rgb="FF404040"/>
        <rFont val="Montserrat"/>
      </rPr>
      <t> </t>
    </r>
  </si>
  <si>
    <r>
      <t>1.173</t>
    </r>
    <r>
      <rPr>
        <sz val="7"/>
        <color rgb="FF404040"/>
        <rFont val="Montserrat"/>
      </rPr>
      <t> </t>
    </r>
  </si>
  <si>
    <r>
      <t>1.195</t>
    </r>
    <r>
      <rPr>
        <sz val="7"/>
        <color rgb="FF404040"/>
        <rFont val="Montserrat"/>
      </rPr>
      <t> </t>
    </r>
  </si>
  <si>
    <t>Machinery (quantity)</t>
  </si>
  <si>
    <t>Tratores </t>
  </si>
  <si>
    <t>350 </t>
  </si>
  <si>
    <t>338 </t>
  </si>
  <si>
    <t>Tractors</t>
  </si>
  <si>
    <t>Colheitadeiras de grãos </t>
  </si>
  <si>
    <t>217 </t>
  </si>
  <si>
    <t>254 </t>
  </si>
  <si>
    <t>Grains Combiners</t>
  </si>
  <si>
    <t>Colheitadeiras de algodão </t>
  </si>
  <si>
    <t>103 </t>
  </si>
  <si>
    <t>127 </t>
  </si>
  <si>
    <t>Cotton Pickers</t>
  </si>
  <si>
    <t>Plantadeiras </t>
  </si>
  <si>
    <t>297 </t>
  </si>
  <si>
    <t>276 </t>
  </si>
  <si>
    <t>Planters</t>
  </si>
  <si>
    <t>Pulverizadores autopropelidos </t>
  </si>
  <si>
    <t>206 </t>
  </si>
  <si>
    <t>200 </t>
  </si>
  <si>
    <t>Self propelled sprayers</t>
  </si>
  <si>
    <r>
      <t>Capacidade de armazenagem (toneladas)</t>
    </r>
    <r>
      <rPr>
        <sz val="7"/>
        <color rgb="FF404040"/>
        <rFont val="Montserrat"/>
      </rPr>
      <t> </t>
    </r>
  </si>
  <si>
    <t>Storage capacity (tons)</t>
  </si>
  <si>
    <t>Grãos  </t>
  </si>
  <si>
    <t>1.054.920 </t>
  </si>
  <si>
    <t xml:space="preserve">Grains </t>
  </si>
  <si>
    <r>
      <t>% Produção</t>
    </r>
    <r>
      <rPr>
        <vertAlign val="superscript"/>
        <sz val="7"/>
        <color rgb="FF404040"/>
        <rFont val="Montserrat"/>
      </rPr>
      <t> </t>
    </r>
    <r>
      <rPr>
        <sz val="7"/>
        <color rgb="FF404040"/>
        <rFont val="Montserrat"/>
      </rPr>
      <t> </t>
    </r>
  </si>
  <si>
    <t>61% </t>
  </si>
  <si>
    <t>% Production</t>
  </si>
  <si>
    <t>Algodão  </t>
  </si>
  <si>
    <t>190.447 </t>
  </si>
  <si>
    <t xml:space="preserve">Cotton </t>
  </si>
  <si>
    <t>72% </t>
  </si>
  <si>
    <t>Cotton seed</t>
  </si>
  <si>
    <t>Safra 2023/24</t>
  </si>
  <si>
    <t>Table – Production Cost – Breakdown in % and R$ per hectare – 2023/24 Crop Year</t>
  </si>
  <si>
    <t>2023/24</t>
  </si>
  <si>
    <t>2023/24 Crop Year</t>
  </si>
  <si>
    <t>Tabela - Área plantada por cultura safra 2021/22 x 2022/23</t>
  </si>
  <si>
    <t>Table - Planted Area by Crop 2021/22 vs. 2022/23 crop years</t>
  </si>
  <si>
    <t>Tabela - Custo de Produção em R$/ha Safra 2022/23</t>
  </si>
  <si>
    <t>Table - Production Cost in R$/hectare, 2022/23Crop Year</t>
  </si>
  <si>
    <t>Tabela – Custo unitário Safra 2022/23</t>
  </si>
  <si>
    <t>Table – Unitary Cost 2022/23 Crop Year</t>
  </si>
  <si>
    <t>Tabela - Área plantada por cultura safra 2022/23 x 2023/24</t>
  </si>
  <si>
    <t>Table - Planted Area by Crop 2022/23 vs. 2023/24 crop years</t>
  </si>
  <si>
    <t>Tabela - Produtividade Orçada Safra 2023/24</t>
  </si>
  <si>
    <t>Table - Projected Yields 2023/24 crop year</t>
  </si>
  <si>
    <t>Tabela - Custos Orçadas Safra 2023/24</t>
  </si>
  <si>
    <t>Table - Budgeted Costs – 2023/24 Crop Year</t>
  </si>
  <si>
    <t>Realizado (c)</t>
  </si>
  <si>
    <t>Realizado</t>
  </si>
  <si>
    <t>Realizado (b)</t>
  </si>
  <si>
    <r>
      <t xml:space="preserve"> Orçada (Kg/ha)</t>
    </r>
    <r>
      <rPr>
        <b/>
        <vertAlign val="superscript"/>
        <sz val="7"/>
        <color rgb="FF404040"/>
        <rFont val="Montserrat"/>
      </rPr>
      <t xml:space="preserve">  </t>
    </r>
  </si>
  <si>
    <r>
      <t>Realizado (Kg/ha)</t>
    </r>
    <r>
      <rPr>
        <b/>
        <vertAlign val="superscript"/>
        <sz val="7"/>
        <color rgb="FF404040"/>
        <rFont val="Montserrat"/>
      </rPr>
      <t xml:space="preserve">  </t>
    </r>
  </si>
  <si>
    <r>
      <t>Budget Yield (Kg/ha)</t>
    </r>
    <r>
      <rPr>
        <b/>
        <vertAlign val="superscript"/>
        <sz val="7"/>
        <color rgb="FF404040"/>
        <rFont val="Montserrat"/>
      </rPr>
      <t xml:space="preserve">  </t>
    </r>
  </si>
  <si>
    <r>
      <t>Achieved (Kg/ha)</t>
    </r>
    <r>
      <rPr>
        <b/>
        <vertAlign val="superscript"/>
        <sz val="7"/>
        <color rgb="FF404040"/>
        <rFont val="Montserrat"/>
      </rPr>
      <t xml:space="preserve">  </t>
    </r>
  </si>
  <si>
    <t>Achieved</t>
  </si>
  <si>
    <t>(2) Outras Culturas (Semente de Braquiária 6.314,86 ha, Semente de Estilosantes 716,02 ha, Feijão 1.430,58 ha, Gergelim 2.494,26 ha, Semente de Milheto 8.786,01 ha, Milho 1ª Safra 1.133,88 ha, Milho Semente 667,46 ha, Pecuária 3.962,42 ha, Sorgo 1.041,77 ha e Trigo 1.067,74 ha) total 27.615,00 ha.</t>
  </si>
  <si>
    <t xml:space="preserve">Safra 2022/23 </t>
  </si>
  <si>
    <t xml:space="preserve">2022/23 
Crop Year </t>
  </si>
  <si>
    <r>
      <t xml:space="preserve"> Orçada (Kg/ha)</t>
    </r>
    <r>
      <rPr>
        <b/>
        <vertAlign val="superscript"/>
        <sz val="7"/>
        <color theme="1"/>
        <rFont val="Montserrat"/>
      </rPr>
      <t xml:space="preserve">  </t>
    </r>
  </si>
  <si>
    <t xml:space="preserve">Custo Orçado </t>
  </si>
  <si>
    <r>
      <t>(R$/ha)</t>
    </r>
    <r>
      <rPr>
        <b/>
        <vertAlign val="superscript"/>
        <sz val="7"/>
        <color theme="1"/>
        <rFont val="Montserrat"/>
      </rPr>
      <t xml:space="preserve"> </t>
    </r>
  </si>
  <si>
    <t>(R$/Kg)</t>
  </si>
  <si>
    <r>
      <t>4T23</t>
    </r>
    <r>
      <rPr>
        <vertAlign val="superscript"/>
        <sz val="7"/>
        <color rgb="FF404040"/>
        <rFont val="Montserrat"/>
      </rPr>
      <t>(1)</t>
    </r>
    <r>
      <rPr>
        <sz val="7"/>
        <color rgb="FF404040"/>
        <rFont val="Montserrat"/>
      </rPr>
      <t> </t>
    </r>
  </si>
  <si>
    <t>(1) Estimativa com base na área plantada e produtividade da safra 2023/24 para o 4T23.</t>
  </si>
  <si>
    <t>3T23</t>
  </si>
  <si>
    <t>3Q23</t>
  </si>
  <si>
    <r>
      <t>4Q23</t>
    </r>
    <r>
      <rPr>
        <vertAlign val="superscript"/>
        <sz val="7"/>
        <color rgb="FF404040"/>
        <rFont val="Montserrat"/>
      </rPr>
      <t>(1)</t>
    </r>
    <r>
      <rPr>
        <sz val="7"/>
        <color rgb="FF404040"/>
        <rFont val="Montserrat"/>
      </rPr>
      <t> </t>
    </r>
  </si>
  <si>
    <t>(1) Estimate based on the planted area and yield for 2023/24 crop year for 4Q23.</t>
  </si>
  <si>
    <t>Tabela - Custos Realizados Safra 2022/23</t>
  </si>
  <si>
    <t>Média Real. 2022/23</t>
  </si>
  <si>
    <t xml:space="preserve">Média Real. 2021/22 </t>
  </si>
  <si>
    <t>Average Ach. 2022/23</t>
  </si>
  <si>
    <t xml:space="preserve">Average Ach 2021/22 </t>
  </si>
  <si>
    <t>82.8</t>
  </si>
  <si>
    <t>81.5</t>
  </si>
  <si>
    <t>80.4</t>
  </si>
  <si>
    <t>14.2</t>
  </si>
  <si>
    <t>18.4</t>
  </si>
  <si>
    <t>11.4</t>
  </si>
  <si>
    <t>24.2</t>
  </si>
  <si>
    <t>15.5</t>
  </si>
  <si>
    <t>24.7</t>
  </si>
  <si>
    <t>19.4</t>
  </si>
  <si>
    <t>13.3</t>
  </si>
  <si>
    <t>21.7</t>
  </si>
  <si>
    <t>1.9</t>
  </si>
  <si>
    <t>3.1</t>
  </si>
  <si>
    <t>5.3</t>
  </si>
  <si>
    <t>0.7</t>
  </si>
  <si>
    <t>0.5</t>
  </si>
  <si>
    <t>6.7</t>
  </si>
  <si>
    <t>4.9</t>
  </si>
  <si>
    <t>3.2</t>
  </si>
  <si>
    <t>5.8</t>
  </si>
  <si>
    <t>9.5</t>
  </si>
  <si>
    <t>17.2</t>
  </si>
  <si>
    <t>18.5</t>
  </si>
  <si>
    <t>19.6</t>
  </si>
  <si>
    <t>6.1</t>
  </si>
  <si>
    <t>4.7</t>
  </si>
  <si>
    <t>7.6</t>
  </si>
  <si>
    <t>2.7</t>
  </si>
  <si>
    <t>9.0</t>
  </si>
  <si>
    <t>Realizado 2021/22
(a)</t>
  </si>
  <si>
    <t>Orçado 2022/23
(b)</t>
  </si>
  <si>
    <t>∆%
(c x a)</t>
  </si>
  <si>
    <t>∆%
(c x b)</t>
  </si>
  <si>
    <t xml:space="preserve">Realizado 2022/23 (c) </t>
  </si>
  <si>
    <r>
      <t xml:space="preserve">(1) </t>
    </r>
    <r>
      <rPr>
        <i/>
        <sz val="6"/>
        <color rgb="FF404040"/>
        <rFont val="Calibri Light"/>
        <family val="2"/>
      </rPr>
      <t>Inclusos os custos com produção de sementes.</t>
    </r>
  </si>
  <si>
    <r>
      <t xml:space="preserve">(1) </t>
    </r>
    <r>
      <rPr>
        <i/>
        <sz val="6"/>
        <color rgb="FF404040"/>
        <rFont val="Calibri Light"/>
        <family val="2"/>
      </rPr>
      <t>Including seed production costs.</t>
    </r>
  </si>
  <si>
    <r>
      <t>Soja</t>
    </r>
    <r>
      <rPr>
        <vertAlign val="superscript"/>
        <sz val="7"/>
        <color rgb="FF404040"/>
        <rFont val="Montserrat"/>
      </rPr>
      <t>(1)</t>
    </r>
  </si>
  <si>
    <t>Average Achieved</t>
  </si>
  <si>
    <t>Algodão Real.</t>
  </si>
  <si>
    <t>Soja Real.</t>
  </si>
  <si>
    <t>Milho Real.</t>
  </si>
  <si>
    <t>Média  Real.</t>
  </si>
  <si>
    <t>Média Real.</t>
  </si>
  <si>
    <t>Cotton Achieved</t>
  </si>
  <si>
    <t>Soybean
Achieved</t>
  </si>
  <si>
    <t>Corn Achieved</t>
  </si>
  <si>
    <t>Achieved 2021/22
(a)</t>
  </si>
  <si>
    <t>Budget 2022/23
(b)</t>
  </si>
  <si>
    <t xml:space="preserve">Achieved 2022/23 
(c)   </t>
  </si>
  <si>
    <t>Table - Achieved Costs – 2022/23 Crop Year</t>
  </si>
  <si>
    <t>Média Orç. 2023/24</t>
  </si>
  <si>
    <t xml:space="preserve">Média Orç. 2022/23 </t>
  </si>
  <si>
    <t>Average Budg. 2023/24</t>
  </si>
  <si>
    <t xml:space="preserve">Average Budg. 2022/23 </t>
  </si>
  <si>
    <r>
      <t xml:space="preserve"> (2) </t>
    </r>
    <r>
      <rPr>
        <i/>
        <sz val="6"/>
        <color rgb="FF404040"/>
        <rFont val="Calibri Light"/>
        <family val="2"/>
      </rPr>
      <t>Ponderado</t>
    </r>
    <r>
      <rPr>
        <i/>
        <vertAlign val="superscript"/>
        <sz val="6"/>
        <color rgb="FF404040"/>
        <rFont val="Calibri Light"/>
        <family val="2"/>
      </rPr>
      <t xml:space="preserve"> </t>
    </r>
    <r>
      <rPr>
        <i/>
        <sz val="6"/>
        <color rgb="FF404040"/>
        <rFont val="Calibri Light"/>
        <family val="2"/>
      </rPr>
      <t>pelas áreas da safra 2022/23, para evitar alterações oriundas de variações no mix de produtos.</t>
    </r>
  </si>
  <si>
    <r>
      <t>7.985</t>
    </r>
    <r>
      <rPr>
        <b/>
        <vertAlign val="superscript"/>
        <sz val="7"/>
        <color rgb="FF404040"/>
        <rFont val="Montserrat"/>
      </rPr>
      <t>(2)</t>
    </r>
  </si>
  <si>
    <r>
      <t>7.177</t>
    </r>
    <r>
      <rPr>
        <b/>
        <vertAlign val="superscript"/>
        <sz val="7"/>
        <color rgb="FF404040"/>
        <rFont val="Montserrat"/>
      </rPr>
      <t>(2)</t>
    </r>
  </si>
  <si>
    <r>
      <t xml:space="preserve">Orçado 2023/24 </t>
    </r>
    <r>
      <rPr>
        <b/>
        <vertAlign val="superscript"/>
        <sz val="7"/>
        <color rgb="FF404040"/>
        <rFont val="Montserrat"/>
      </rPr>
      <t>(1)</t>
    </r>
  </si>
  <si>
    <t>Tabela 4 - Custo de Produção em R$/ha Safra 2023/24</t>
  </si>
  <si>
    <t>Table 4 - Production Cost in R$/hectare, 2023/24 Crop Year</t>
  </si>
  <si>
    <r>
      <t>(2)</t>
    </r>
    <r>
      <rPr>
        <i/>
        <sz val="6"/>
        <color rgb="FF404040"/>
        <rFont val="Calibri Light"/>
        <family val="2"/>
      </rPr>
      <t xml:space="preserve"> Weighted by areas in the 2021/22 crop year to avoid impacts from changes in the product mix.</t>
    </r>
  </si>
  <si>
    <r>
      <t xml:space="preserve">Budget 2023/24 </t>
    </r>
    <r>
      <rPr>
        <b/>
        <vertAlign val="superscript"/>
        <sz val="7"/>
        <color rgb="FF404040"/>
        <rFont val="Montserrat"/>
      </rPr>
      <t>(1)</t>
    </r>
  </si>
  <si>
    <t xml:space="preserve"> (1)Os valores podem sofrer alteração até o final de beneficiamento de algodão e da comercialização de grãos</t>
  </si>
  <si>
    <r>
      <t>(1)</t>
    </r>
    <r>
      <rPr>
        <i/>
        <sz val="6"/>
        <color rgb="FF404040"/>
        <rFont val="Calibri Light"/>
        <family val="2"/>
      </rPr>
      <t xml:space="preserve"> Values ​​may change until the end of cotton processing and grain sales</t>
    </r>
  </si>
  <si>
    <t>Table 5 – Unitary Cost 2023/24 Crop Year</t>
  </si>
  <si>
    <t>Tabela 5 – Custo unitário Safra 2023/24</t>
  </si>
  <si>
    <t>Tabela - Produtividade Realizada Safra 2022/23</t>
  </si>
  <si>
    <t>Table - Achieved Yields 2022/23 crop year</t>
  </si>
  <si>
    <t>Tabela - Custo de produção – Breakdown em R$ por hectare – Safra 2022/23</t>
  </si>
  <si>
    <t>Tabela - Custo de produção – Breakdown em R$ por hectare – Safra 2023/24</t>
  </si>
  <si>
    <t xml:space="preserve"> ----------------------------ha ----------------------------</t>
  </si>
  <si>
    <r>
      <t>Outras culturas</t>
    </r>
    <r>
      <rPr>
        <vertAlign val="superscript"/>
        <sz val="7"/>
        <color rgb="FF404040"/>
        <rFont val="Montserrat"/>
      </rPr>
      <t xml:space="preserve"> (1)</t>
    </r>
  </si>
  <si>
    <t>(1) Other Crops (Brachiaria Seed 6,314.86 ha, Stylosanthes Seed 716.02 ha, Beans ,1.430.58 ha, Sesame 2.494,26 ha, MIllet Seed 8,786.01 ha, Corn 1st crop 1,133.88 ha, Corn Seed 667.46 ha, Cattle Herd 3,962.42 ha, Sorghum 1,041.77 ha and Wheat 1,067.74 ha) total 27,615 ha.</t>
  </si>
  <si>
    <r>
      <t>Other Crops</t>
    </r>
    <r>
      <rPr>
        <vertAlign val="superscript"/>
        <sz val="7"/>
        <color rgb="FF404040"/>
        <rFont val="Montserrat"/>
      </rPr>
      <t xml:space="preserve"> (1)</t>
    </r>
  </si>
  <si>
    <t>Depreciação do Direito de Uso -Arrendamentos</t>
  </si>
  <si>
    <t xml:space="preserve">Right-of-Use Depreciation - Leasing </t>
  </si>
  <si>
    <t>(2) Outras Culturas (Semente de Braquiária 12.042 ha, Semente de Crotalária 1.859 ha, Feijão 3.482 ha, Gergelim 2.624 ha, Semente de Milheto 6.522 ha, Milho 1ª Safra 266 ha, Milho Semente 767 ha, Semente de Nabo Forrageiro 5.062 ha, Pecuária 3.606 ha, Sorgo 262 ha, Trigo 9.306 ha e Semente de Trigo Mourisco 519 ha) total 46.316 ha.</t>
  </si>
  <si>
    <t>Algodão em pluma</t>
  </si>
  <si>
    <t xml:space="preserve">   Algodão em pluma 1ª safra</t>
  </si>
  <si>
    <t xml:space="preserve">   Algodão em pluma 2ª safra</t>
  </si>
  <si>
    <t>Cotton lint</t>
  </si>
  <si>
    <r>
      <t xml:space="preserve">   Cotton lint 1</t>
    </r>
    <r>
      <rPr>
        <i/>
        <vertAlign val="superscript"/>
        <sz val="7"/>
        <color rgb="FF404040"/>
        <rFont val="Montserrat"/>
      </rPr>
      <t>st</t>
    </r>
    <r>
      <rPr>
        <i/>
        <sz val="7"/>
        <color rgb="FF404040"/>
        <rFont val="Montserrat"/>
      </rPr>
      <t xml:space="preserve"> crop</t>
    </r>
  </si>
  <si>
    <r>
      <t xml:space="preserve">   Cotton lint 2</t>
    </r>
    <r>
      <rPr>
        <i/>
        <vertAlign val="superscript"/>
        <sz val="7"/>
        <color rgb="FF404040"/>
        <rFont val="Montserrat"/>
      </rPr>
      <t>nd</t>
    </r>
    <r>
      <rPr>
        <i/>
        <sz val="7"/>
        <color rgb="FF404040"/>
        <rFont val="Montserrat"/>
      </rPr>
      <t xml:space="preserve"> crop</t>
    </r>
  </si>
  <si>
    <r>
      <t>Cotton lint 2</t>
    </r>
    <r>
      <rPr>
        <vertAlign val="superscript"/>
        <sz val="7"/>
        <color rgb="FF404040"/>
        <rFont val="Montserrat"/>
      </rPr>
      <t>nd</t>
    </r>
    <r>
      <rPr>
        <sz val="7"/>
        <color rgb="FF404040"/>
        <rFont val="Montserrat"/>
      </rPr>
      <t xml:space="preserve"> crop</t>
    </r>
  </si>
  <si>
    <t>2023/24 Orçado (a)</t>
  </si>
  <si>
    <r>
      <t>2023/24</t>
    </r>
    <r>
      <rPr>
        <b/>
        <vertAlign val="superscript"/>
        <sz val="7"/>
        <color rgb="FF404040"/>
        <rFont val="Montserrat"/>
      </rPr>
      <t>(1)</t>
    </r>
    <r>
      <rPr>
        <b/>
        <sz val="7"/>
        <color rgb="FF404040"/>
        <rFont val="Montserrat"/>
      </rPr>
      <t xml:space="preserve"> Forecast (b)</t>
    </r>
  </si>
  <si>
    <t>(b x a)</t>
  </si>
  <si>
    <t>2023/24 Budget (a)</t>
  </si>
  <si>
    <r>
      <t>2023/24</t>
    </r>
    <r>
      <rPr>
        <b/>
        <vertAlign val="superscript"/>
        <sz val="8"/>
        <color rgb="FF404040"/>
        <rFont val="Calibri Light"/>
        <family val="2"/>
      </rPr>
      <t>(1)</t>
    </r>
    <r>
      <rPr>
        <b/>
        <sz val="8"/>
        <color rgb="FF404040"/>
        <rFont val="Calibri Light"/>
        <family val="2"/>
      </rPr>
      <t xml:space="preserve"> Forecast (b)</t>
    </r>
  </si>
  <si>
    <t>(2) Other Crops (First-crop corn 266 ha, Corn seed 767 ha, Wheat 9,306 ha, Mung bean 3,482 ha, Livestock 3,606 ha, Sorghum 262 ha, Sesame 2,624 ha, Brachiaria seed 12,042 ha, Buckwheat 519 ha, Pearl millet seed 6,522 ha, Crotalaria 1,859 ha, Forage Radish Seed 5,062 ha)  Total 46,316 hectares.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</si>
</sst>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0.0"/>
    <numFmt numFmtId="167" formatCode="_-* #,##0_-;\-* #,##0_-;_-* &quot;-&quot;??_-;_-@_-"/>
  </numFmts>
  <fonts count="29" x14ac:knownFonts="1">
    <font>
      <sz val="11"/>
      <color theme="1"/>
      <name val="Calibri"/>
      <family val="2"/>
      <scheme val="minor"/>
    </font>
    <font>
      <b/>
      <sz val="8"/>
      <color rgb="FF404040"/>
      <name val="Calibri Light"/>
      <family val="2"/>
    </font>
    <font>
      <b/>
      <vertAlign val="superscript"/>
      <sz val="8"/>
      <color rgb="FF404040"/>
      <name val="Calibri Light"/>
      <family val="2"/>
    </font>
    <font>
      <sz val="8"/>
      <color rgb="FF404040"/>
      <name val="Calibri Light"/>
      <family val="2"/>
    </font>
    <font>
      <i/>
      <vertAlign val="superscript"/>
      <sz val="6"/>
      <color rgb="FF404040"/>
      <name val="Calibri Light"/>
      <family val="2"/>
    </font>
    <font>
      <i/>
      <sz val="6"/>
      <color rgb="FF404040"/>
      <name val="Calibri Light"/>
      <family val="2"/>
    </font>
    <font>
      <vertAlign val="superscript"/>
      <sz val="6"/>
      <color theme="1"/>
      <name val="Calibri Light"/>
      <family val="2"/>
    </font>
    <font>
      <b/>
      <sz val="7"/>
      <color rgb="FF404040"/>
      <name val="Montserrat"/>
    </font>
    <font>
      <b/>
      <vertAlign val="superscript"/>
      <sz val="7"/>
      <color rgb="FF404040"/>
      <name val="Montserrat"/>
    </font>
    <font>
      <i/>
      <sz val="7"/>
      <color rgb="FF404040"/>
      <name val="Montserrat"/>
    </font>
    <font>
      <i/>
      <vertAlign val="superscript"/>
      <sz val="7"/>
      <color rgb="FF404040"/>
      <name val="Montserrat"/>
    </font>
    <font>
      <sz val="7"/>
      <color rgb="FF404040"/>
      <name val="Montserrat"/>
    </font>
    <font>
      <vertAlign val="superscript"/>
      <sz val="7"/>
      <color rgb="FF404040"/>
      <name val="Montserrat"/>
    </font>
    <font>
      <i/>
      <sz val="6"/>
      <color rgb="FF404040"/>
      <name val="Montserrat"/>
    </font>
    <font>
      <sz val="7"/>
      <color rgb="FF404040"/>
      <name val="Times New Roman"/>
      <family val="1"/>
    </font>
    <font>
      <b/>
      <sz val="7"/>
      <color rgb="FF404040"/>
      <name val="Times New Roman"/>
      <family val="1"/>
    </font>
    <font>
      <i/>
      <vertAlign val="superscript"/>
      <sz val="6"/>
      <color rgb="FF404040"/>
      <name val="Montserrat"/>
    </font>
    <font>
      <sz val="11"/>
      <color theme="1"/>
      <name val="Calibri"/>
      <family val="2"/>
      <scheme val="minor"/>
    </font>
    <font>
      <sz val="6"/>
      <color rgb="FF404040"/>
      <name val="Montserrat"/>
    </font>
    <font>
      <vertAlign val="superscript"/>
      <sz val="6"/>
      <color rgb="FF404040"/>
      <name val="Montserrat"/>
    </font>
    <font>
      <sz val="7"/>
      <color rgb="FF000000"/>
      <name val="Montserrat"/>
    </font>
    <font>
      <b/>
      <sz val="7"/>
      <color rgb="FF000000"/>
      <name val="Montserrat"/>
    </font>
    <font>
      <sz val="6"/>
      <color theme="1"/>
      <name val="Calibri"/>
      <family val="2"/>
      <scheme val="minor"/>
    </font>
    <font>
      <b/>
      <sz val="5"/>
      <color rgb="FF404040"/>
      <name val="Calibri Light"/>
      <family val="2"/>
    </font>
    <font>
      <b/>
      <sz val="7"/>
      <color theme="1"/>
      <name val="Montserrat"/>
    </font>
    <font>
      <b/>
      <vertAlign val="superscript"/>
      <sz val="7"/>
      <color theme="1"/>
      <name val="Montserrat"/>
    </font>
    <font>
      <sz val="7"/>
      <color theme="1"/>
      <name val="Montserrat"/>
    </font>
    <font>
      <b/>
      <sz val="7"/>
      <name val="Montserrat"/>
    </font>
    <font>
      <sz val="7"/>
      <name val="Montserrat"/>
    </font>
  </fonts>
  <fills count="2">
    <fill>
      <patternFill patternType="none"/>
    </fill>
    <fill>
      <patternFill patternType="gray125"/>
    </fill>
  </fills>
  <borders count="19">
    <border>
      <left/>
      <right/>
      <top/>
      <bottom/>
      <diagonal/>
    </border>
    <border>
      <left/>
      <right/>
      <top style="thick">
        <color rgb="FF006800"/>
      </top>
      <bottom style="medium">
        <color rgb="FF006800"/>
      </bottom>
      <diagonal/>
    </border>
    <border>
      <left/>
      <right/>
      <top style="thick">
        <color rgb="FF006800"/>
      </top>
      <bottom/>
      <diagonal/>
    </border>
    <border>
      <left/>
      <right/>
      <top/>
      <bottom style="medium">
        <color rgb="FF006800"/>
      </bottom>
      <diagonal/>
    </border>
    <border>
      <left/>
      <right/>
      <top/>
      <bottom style="thick">
        <color rgb="FF006800"/>
      </bottom>
      <diagonal/>
    </border>
    <border>
      <left/>
      <right/>
      <top style="thick">
        <color rgb="FF006800"/>
      </top>
      <bottom style="thick">
        <color rgb="FF006800"/>
      </bottom>
      <diagonal/>
    </border>
    <border>
      <left/>
      <right/>
      <top style="medium">
        <color rgb="FF006800"/>
      </top>
      <bottom/>
      <diagonal/>
    </border>
    <border>
      <left style="thin">
        <color rgb="FF000000"/>
      </left>
      <right/>
      <top style="thin">
        <color rgb="FF000000"/>
      </top>
      <bottom style="thick">
        <color rgb="FF006800"/>
      </bottom>
      <diagonal/>
    </border>
    <border>
      <left/>
      <right/>
      <top style="thin">
        <color rgb="FF000000"/>
      </top>
      <bottom style="thick">
        <color rgb="FF006800"/>
      </bottom>
      <diagonal/>
    </border>
    <border>
      <left/>
      <right style="thin">
        <color rgb="FF000000"/>
      </right>
      <top style="thin">
        <color rgb="FF000000"/>
      </top>
      <bottom style="thick">
        <color rgb="FF006800"/>
      </bottom>
      <diagonal/>
    </border>
    <border>
      <left style="thin">
        <color rgb="FF000000"/>
      </left>
      <right/>
      <top/>
      <bottom style="medium">
        <color rgb="FF006800"/>
      </bottom>
      <diagonal/>
    </border>
    <border>
      <left/>
      <right style="thin">
        <color rgb="FF000000"/>
      </right>
      <top/>
      <bottom style="medium">
        <color rgb="FF0068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6800"/>
      </top>
      <bottom style="thick">
        <color rgb="FF006800"/>
      </bottom>
      <diagonal/>
    </border>
    <border>
      <left/>
      <right/>
      <top/>
      <bottom style="thin">
        <color indexed="64"/>
      </bottom>
      <diagonal/>
    </border>
  </borders>
  <cellStyleXfs count="3">
    <xf numFmtId="0" fontId="0" fillId="0" borderId="0"/>
    <xf numFmtId="9" fontId="17" fillId="0" borderId="0" applyFont="0" applyFill="0" applyBorder="0" applyAlignment="0" applyProtection="0"/>
    <xf numFmtId="43" fontId="17" fillId="0" borderId="0" applyFont="0" applyFill="0" applyBorder="0" applyAlignment="0" applyProtection="0"/>
  </cellStyleXfs>
  <cellXfs count="165">
    <xf numFmtId="0" fontId="0" fillId="0" borderId="0" xfId="0"/>
    <xf numFmtId="0" fontId="1" fillId="0" borderId="0" xfId="0" applyFont="1" applyAlignment="1">
      <alignment horizontal="center" vertical="center" wrapText="1"/>
    </xf>
    <xf numFmtId="10" fontId="1" fillId="0" borderId="0" xfId="0" applyNumberFormat="1" applyFont="1" applyAlignment="1">
      <alignment horizontal="center" vertical="center" wrapText="1"/>
    </xf>
    <xf numFmtId="10" fontId="3" fillId="0" borderId="0" xfId="0" applyNumberFormat="1" applyFont="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horizontal="justify" vertical="center"/>
    </xf>
    <xf numFmtId="0" fontId="6" fillId="0" borderId="0" xfId="0" applyFont="1" applyAlignment="1">
      <alignment vertical="center"/>
    </xf>
    <xf numFmtId="0" fontId="7" fillId="0" borderId="3" xfId="0" applyFont="1" applyBorder="1" applyAlignment="1">
      <alignment horizontal="center" vertical="center" wrapText="1"/>
    </xf>
    <xf numFmtId="0" fontId="7" fillId="0" borderId="3"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9" fillId="0" borderId="0" xfId="0" applyFont="1" applyAlignment="1">
      <alignment vertical="center" wrapText="1"/>
    </xf>
    <xf numFmtId="0" fontId="11" fillId="0" borderId="0" xfId="0" applyFont="1" applyAlignment="1">
      <alignment horizontal="center" vertical="center" wrapText="1"/>
    </xf>
    <xf numFmtId="0" fontId="9" fillId="0" borderId="3" xfId="0" applyFont="1" applyBorder="1" applyAlignment="1">
      <alignment vertical="center" wrapText="1"/>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7" fillId="0" borderId="4" xfId="0" applyFont="1" applyBorder="1" applyAlignment="1">
      <alignment vertical="center" wrapText="1"/>
    </xf>
    <xf numFmtId="0" fontId="7"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7" fillId="0" borderId="3" xfId="0" applyFont="1" applyBorder="1" applyAlignment="1">
      <alignment horizontal="center" vertical="center"/>
    </xf>
    <xf numFmtId="0" fontId="11" fillId="0" borderId="6" xfId="0" applyFont="1" applyBorder="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xf>
    <xf numFmtId="0" fontId="11" fillId="0" borderId="4" xfId="0" applyFont="1" applyBorder="1" applyAlignment="1">
      <alignment vertical="center" wrapText="1"/>
    </xf>
    <xf numFmtId="0" fontId="11" fillId="0" borderId="4" xfId="0" applyFont="1" applyBorder="1" applyAlignment="1">
      <alignment horizontal="center" vertical="center"/>
    </xf>
    <xf numFmtId="0" fontId="11" fillId="0" borderId="4"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7" fillId="0" borderId="5" xfId="0" applyFont="1" applyBorder="1" applyAlignment="1">
      <alignment vertical="center"/>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7" fillId="0" borderId="3" xfId="0" applyFont="1" applyBorder="1" applyAlignment="1">
      <alignment vertical="center"/>
    </xf>
    <xf numFmtId="0" fontId="11" fillId="0" borderId="0" xfId="0" applyFont="1" applyAlignment="1">
      <alignment vertical="center"/>
    </xf>
    <xf numFmtId="0" fontId="11" fillId="0" borderId="3" xfId="0" applyFont="1" applyBorder="1" applyAlignment="1">
      <alignment vertical="center"/>
    </xf>
    <xf numFmtId="0" fontId="11" fillId="0" borderId="3" xfId="0" applyFont="1" applyBorder="1" applyAlignment="1">
      <alignment horizontal="center" vertical="center"/>
    </xf>
    <xf numFmtId="0" fontId="11" fillId="0" borderId="4" xfId="0" applyFont="1" applyBorder="1" applyAlignment="1">
      <alignment vertical="center"/>
    </xf>
    <xf numFmtId="0" fontId="7" fillId="0" borderId="4" xfId="0" applyFont="1" applyBorder="1" applyAlignment="1">
      <alignment vertical="center"/>
    </xf>
    <xf numFmtId="0" fontId="14" fillId="0" borderId="7" xfId="0" applyFont="1" applyBorder="1" applyAlignment="1">
      <alignment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vertical="center" wrapText="1"/>
    </xf>
    <xf numFmtId="0" fontId="11" fillId="0" borderId="12" xfId="0" applyFont="1" applyBorder="1" applyAlignment="1">
      <alignment horizontal="justify" vertical="center" wrapText="1"/>
    </xf>
    <xf numFmtId="0" fontId="11" fillId="0" borderId="10" xfId="0" applyFont="1" applyBorder="1" applyAlignment="1">
      <alignment horizontal="justify" vertical="center" wrapText="1"/>
    </xf>
    <xf numFmtId="0" fontId="11" fillId="0" borderId="14" xfId="0" applyFont="1" applyBorder="1" applyAlignment="1">
      <alignment horizontal="justify" vertical="center" wrapText="1"/>
    </xf>
    <xf numFmtId="3" fontId="7" fillId="0" borderId="1" xfId="0" applyNumberFormat="1" applyFont="1" applyBorder="1" applyAlignment="1">
      <alignment horizontal="center" vertical="center" wrapText="1"/>
    </xf>
    <xf numFmtId="10" fontId="7" fillId="0" borderId="1" xfId="0" applyNumberFormat="1" applyFont="1" applyBorder="1" applyAlignment="1">
      <alignment horizontal="center" vertical="center" wrapText="1"/>
    </xf>
    <xf numFmtId="3" fontId="11" fillId="0" borderId="0" xfId="0" applyNumberFormat="1" applyFont="1" applyAlignment="1">
      <alignment horizontal="center" vertical="center" wrapText="1"/>
    </xf>
    <xf numFmtId="10" fontId="11" fillId="0" borderId="0" xfId="0" applyNumberFormat="1" applyFont="1" applyAlignment="1">
      <alignment horizontal="center" vertical="center" wrapText="1"/>
    </xf>
    <xf numFmtId="3" fontId="11" fillId="0" borderId="3" xfId="0" applyNumberFormat="1" applyFont="1" applyBorder="1" applyAlignment="1">
      <alignment horizontal="center" vertical="center" wrapText="1"/>
    </xf>
    <xf numFmtId="10" fontId="11" fillId="0" borderId="3" xfId="0" applyNumberFormat="1" applyFont="1" applyBorder="1" applyAlignment="1">
      <alignment horizontal="center" vertical="center" wrapText="1"/>
    </xf>
    <xf numFmtId="3" fontId="7" fillId="0" borderId="3" xfId="0" applyNumberFormat="1" applyFont="1" applyBorder="1" applyAlignment="1">
      <alignment horizontal="center" vertical="center" wrapText="1"/>
    </xf>
    <xf numFmtId="10" fontId="7" fillId="0" borderId="3" xfId="0" applyNumberFormat="1" applyFont="1" applyBorder="1" applyAlignment="1">
      <alignment horizontal="center" vertical="center" wrapText="1"/>
    </xf>
    <xf numFmtId="3" fontId="7" fillId="0" borderId="4" xfId="0" applyNumberFormat="1" applyFont="1" applyBorder="1" applyAlignment="1">
      <alignment horizontal="center" vertical="center" wrapText="1"/>
    </xf>
    <xf numFmtId="10" fontId="7" fillId="0" borderId="4" xfId="0" applyNumberFormat="1" applyFont="1" applyBorder="1" applyAlignment="1">
      <alignment horizontal="center" vertical="center" wrapText="1"/>
    </xf>
    <xf numFmtId="0" fontId="7" fillId="0" borderId="2" xfId="0" applyFont="1" applyBorder="1" applyAlignment="1">
      <alignment horizontal="center" vertical="center" wrapText="1"/>
    </xf>
    <xf numFmtId="3" fontId="11" fillId="0" borderId="6" xfId="0" applyNumberFormat="1" applyFont="1" applyBorder="1" applyAlignment="1">
      <alignment horizontal="center" vertical="center"/>
    </xf>
    <xf numFmtId="3" fontId="11" fillId="0" borderId="6" xfId="0" applyNumberFormat="1" applyFont="1" applyBorder="1" applyAlignment="1">
      <alignment horizontal="center" vertical="center" wrapText="1"/>
    </xf>
    <xf numFmtId="10" fontId="11" fillId="0" borderId="6" xfId="0" applyNumberFormat="1" applyFont="1" applyBorder="1" applyAlignment="1">
      <alignment horizontal="center" vertical="center" wrapText="1"/>
    </xf>
    <xf numFmtId="3" fontId="11" fillId="0" borderId="0" xfId="0" applyNumberFormat="1" applyFont="1" applyAlignment="1">
      <alignment horizontal="center" vertical="center"/>
    </xf>
    <xf numFmtId="3" fontId="11" fillId="0" borderId="4" xfId="0" applyNumberFormat="1" applyFont="1" applyBorder="1" applyAlignment="1">
      <alignment horizontal="center" vertical="center"/>
    </xf>
    <xf numFmtId="3" fontId="11" fillId="0" borderId="4" xfId="0" applyNumberFormat="1" applyFont="1" applyBorder="1" applyAlignment="1">
      <alignment horizontal="center" vertical="center" wrapText="1"/>
    </xf>
    <xf numFmtId="10" fontId="11" fillId="0" borderId="4" xfId="0" applyNumberFormat="1" applyFont="1" applyBorder="1" applyAlignment="1">
      <alignment horizontal="center" vertical="center" wrapText="1"/>
    </xf>
    <xf numFmtId="3" fontId="7" fillId="0" borderId="4" xfId="0" applyNumberFormat="1" applyFont="1" applyBorder="1" applyAlignment="1">
      <alignment horizontal="center" vertical="center"/>
    </xf>
    <xf numFmtId="0" fontId="1" fillId="0" borderId="18" xfId="0" applyFont="1" applyBorder="1" applyAlignment="1">
      <alignment horizontal="center" vertical="center" wrapText="1"/>
    </xf>
    <xf numFmtId="164" fontId="11" fillId="0" borderId="0" xfId="0" applyNumberFormat="1" applyFont="1" applyAlignment="1">
      <alignment horizontal="center" vertical="center" wrapText="1"/>
    </xf>
    <xf numFmtId="164" fontId="11" fillId="0" borderId="3" xfId="0" applyNumberFormat="1" applyFont="1" applyBorder="1" applyAlignment="1">
      <alignment horizontal="center" vertical="center" wrapText="1"/>
    </xf>
    <xf numFmtId="164" fontId="7" fillId="0" borderId="4" xfId="0" applyNumberFormat="1" applyFont="1" applyBorder="1" applyAlignment="1">
      <alignment horizontal="center" vertical="center" wrapText="1"/>
    </xf>
    <xf numFmtId="164" fontId="7" fillId="0" borderId="3"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0" fontId="0" fillId="0" borderId="0" xfId="0" applyAlignment="1">
      <alignment vertical="center"/>
    </xf>
    <xf numFmtId="1" fontId="11" fillId="0" borderId="0" xfId="0" applyNumberFormat="1" applyFont="1" applyAlignment="1">
      <alignment horizontal="center" vertical="center"/>
    </xf>
    <xf numFmtId="1" fontId="11" fillId="0" borderId="4" xfId="0" applyNumberFormat="1" applyFont="1" applyBorder="1" applyAlignment="1">
      <alignment horizontal="center" vertical="center"/>
    </xf>
    <xf numFmtId="1" fontId="11" fillId="0" borderId="4" xfId="0" applyNumberFormat="1" applyFont="1" applyBorder="1" applyAlignment="1">
      <alignment horizontal="center" vertical="center" wrapText="1"/>
    </xf>
    <xf numFmtId="3" fontId="7" fillId="0" borderId="11" xfId="0" applyNumberFormat="1" applyFont="1" applyBorder="1" applyAlignment="1">
      <alignment horizontal="center" vertical="center" wrapText="1"/>
    </xf>
    <xf numFmtId="0" fontId="11" fillId="0" borderId="13" xfId="0" applyFont="1" applyBorder="1" applyAlignment="1">
      <alignment horizontal="center" vertical="center" wrapText="1"/>
    </xf>
    <xf numFmtId="0" fontId="11" fillId="0" borderId="11" xfId="0" applyFont="1" applyBorder="1" applyAlignment="1">
      <alignment horizontal="center" vertical="center" wrapText="1"/>
    </xf>
    <xf numFmtId="0" fontId="15" fillId="0" borderId="3" xfId="0" applyFont="1" applyBorder="1" applyAlignment="1">
      <alignment horizontal="center" vertical="center" wrapText="1"/>
    </xf>
    <xf numFmtId="0" fontId="7" fillId="0" borderId="11" xfId="0" applyFont="1" applyBorder="1" applyAlignment="1">
      <alignment horizontal="center" vertical="center" wrapText="1"/>
    </xf>
    <xf numFmtId="9" fontId="11" fillId="0" borderId="3" xfId="0" applyNumberFormat="1" applyFont="1" applyBorder="1" applyAlignment="1">
      <alignment horizontal="center" vertical="center" wrapText="1"/>
    </xf>
    <xf numFmtId="9" fontId="11" fillId="0" borderId="3" xfId="1" applyFont="1" applyFill="1" applyBorder="1" applyAlignment="1">
      <alignment horizontal="center" vertical="center" wrapText="1"/>
    </xf>
    <xf numFmtId="9" fontId="11" fillId="0" borderId="11" xfId="0" applyNumberFormat="1" applyFont="1" applyBorder="1" applyAlignment="1">
      <alignment horizontal="center" vertical="center" wrapText="1"/>
    </xf>
    <xf numFmtId="0" fontId="11" fillId="0" borderId="15" xfId="0" applyFont="1" applyBorder="1" applyAlignment="1">
      <alignment horizontal="center" vertical="center" wrapText="1"/>
    </xf>
    <xf numFmtId="9" fontId="11" fillId="0" borderId="15" xfId="0" applyNumberFormat="1" applyFont="1" applyBorder="1" applyAlignment="1">
      <alignment horizontal="center" vertical="center" wrapText="1"/>
    </xf>
    <xf numFmtId="9" fontId="11" fillId="0" borderId="15" xfId="1" applyFont="1" applyFill="1" applyBorder="1" applyAlignment="1">
      <alignment horizontal="center" vertical="center" wrapText="1"/>
    </xf>
    <xf numFmtId="9" fontId="11" fillId="0" borderId="16" xfId="0" applyNumberFormat="1" applyFont="1" applyBorder="1" applyAlignment="1">
      <alignment horizontal="center" vertical="center" wrapText="1"/>
    </xf>
    <xf numFmtId="164" fontId="11" fillId="0" borderId="6" xfId="0" applyNumberFormat="1" applyFont="1" applyBorder="1" applyAlignment="1">
      <alignment horizontal="center" vertical="center" wrapText="1"/>
    </xf>
    <xf numFmtId="164" fontId="11" fillId="0" borderId="4" xfId="0" applyNumberFormat="1" applyFont="1" applyBorder="1" applyAlignment="1">
      <alignment horizontal="center" vertical="center" wrapText="1"/>
    </xf>
    <xf numFmtId="1" fontId="11" fillId="0" borderId="0" xfId="0" applyNumberFormat="1" applyFont="1" applyAlignment="1">
      <alignment horizontal="center" vertical="center" wrapText="1"/>
    </xf>
    <xf numFmtId="3" fontId="7" fillId="0" borderId="5" xfId="0" applyNumberFormat="1" applyFont="1" applyBorder="1" applyAlignment="1">
      <alignment horizontal="center" vertical="center"/>
    </xf>
    <xf numFmtId="3" fontId="7" fillId="0" borderId="5" xfId="0" applyNumberFormat="1" applyFont="1" applyBorder="1" applyAlignment="1">
      <alignment horizontal="center" vertical="center" wrapText="1"/>
    </xf>
    <xf numFmtId="0" fontId="4" fillId="0" borderId="0" xfId="0" applyFont="1" applyAlignment="1">
      <alignment horizontal="left" vertical="center"/>
    </xf>
    <xf numFmtId="0" fontId="0" fillId="0" borderId="0" xfId="0" applyAlignment="1">
      <alignment vertical="center" wrapText="1"/>
    </xf>
    <xf numFmtId="0" fontId="7" fillId="0" borderId="0" xfId="0" applyFont="1" applyAlignment="1">
      <alignment horizontal="center" vertical="center" wrapText="1"/>
    </xf>
    <xf numFmtId="0" fontId="0" fillId="0" borderId="3" xfId="0" applyBorder="1" applyAlignment="1">
      <alignment vertical="center" wrapText="1"/>
    </xf>
    <xf numFmtId="0" fontId="18" fillId="0" borderId="0" xfId="0" applyFont="1" applyAlignment="1">
      <alignment vertical="center" wrapText="1"/>
    </xf>
    <xf numFmtId="0" fontId="18" fillId="0" borderId="4" xfId="0" applyFont="1" applyBorder="1" applyAlignment="1">
      <alignment vertical="center" wrapText="1"/>
    </xf>
    <xf numFmtId="3" fontId="7" fillId="0" borderId="0" xfId="0" applyNumberFormat="1" applyFont="1" applyAlignment="1">
      <alignment horizontal="center" vertical="center" wrapText="1"/>
    </xf>
    <xf numFmtId="3" fontId="7" fillId="0" borderId="0" xfId="0" applyNumberFormat="1" applyFont="1" applyAlignment="1">
      <alignment horizontal="center" vertical="center"/>
    </xf>
    <xf numFmtId="0" fontId="18" fillId="0" borderId="0" xfId="0" applyFont="1" applyAlignment="1">
      <alignment vertical="center"/>
    </xf>
    <xf numFmtId="3" fontId="20" fillId="0" borderId="6" xfId="0" applyNumberFormat="1" applyFont="1" applyBorder="1" applyAlignment="1">
      <alignment horizontal="center" vertical="center" wrapText="1"/>
    </xf>
    <xf numFmtId="164" fontId="20" fillId="0" borderId="6" xfId="0" applyNumberFormat="1" applyFont="1" applyBorder="1" applyAlignment="1">
      <alignment horizontal="center" vertical="center" wrapText="1"/>
    </xf>
    <xf numFmtId="3" fontId="20" fillId="0" borderId="0" xfId="0" applyNumberFormat="1" applyFont="1" applyAlignment="1">
      <alignment horizontal="center" vertical="center" wrapText="1"/>
    </xf>
    <xf numFmtId="164" fontId="20" fillId="0" borderId="0" xfId="0" applyNumberFormat="1" applyFont="1" applyAlignment="1">
      <alignment horizontal="center" vertical="center" wrapText="1"/>
    </xf>
    <xf numFmtId="3" fontId="20" fillId="0" borderId="4" xfId="0" applyNumberFormat="1" applyFont="1" applyBorder="1" applyAlignment="1">
      <alignment horizontal="center" vertical="center" wrapText="1"/>
    </xf>
    <xf numFmtId="164" fontId="20" fillId="0" borderId="4" xfId="0" applyNumberFormat="1" applyFont="1" applyBorder="1" applyAlignment="1">
      <alignment horizontal="center" vertical="center" wrapText="1"/>
    </xf>
    <xf numFmtId="164" fontId="1" fillId="0" borderId="0" xfId="0" applyNumberFormat="1" applyFont="1" applyAlignment="1">
      <alignment horizontal="center" vertical="center" wrapText="1"/>
    </xf>
    <xf numFmtId="164" fontId="0" fillId="0" borderId="0" xfId="1" applyNumberFormat="1" applyFont="1"/>
    <xf numFmtId="3" fontId="11" fillId="0" borderId="13" xfId="0" applyNumberFormat="1" applyFont="1" applyBorder="1" applyAlignment="1">
      <alignment horizontal="center" vertical="center" wrapText="1"/>
    </xf>
    <xf numFmtId="1" fontId="0" fillId="0" borderId="0" xfId="0" applyNumberFormat="1"/>
    <xf numFmtId="166" fontId="7" fillId="0" borderId="0" xfId="0" applyNumberFormat="1" applyFont="1" applyAlignment="1">
      <alignment horizontal="center" vertical="center" wrapText="1"/>
    </xf>
    <xf numFmtId="4" fontId="0" fillId="0" borderId="0" xfId="0" applyNumberFormat="1"/>
    <xf numFmtId="167" fontId="0" fillId="0" borderId="0" xfId="2" applyNumberFormat="1" applyFont="1"/>
    <xf numFmtId="167" fontId="22" fillId="0" borderId="0" xfId="2" applyNumberFormat="1" applyFont="1"/>
    <xf numFmtId="2" fontId="21" fillId="0" borderId="6" xfId="0" applyNumberFormat="1" applyFont="1" applyBorder="1" applyAlignment="1">
      <alignment horizontal="center" vertical="center" wrapText="1"/>
    </xf>
    <xf numFmtId="2" fontId="21" fillId="0" borderId="0" xfId="0" applyNumberFormat="1" applyFont="1" applyAlignment="1">
      <alignment horizontal="center" vertical="center" wrapText="1"/>
    </xf>
    <xf numFmtId="2" fontId="21" fillId="0" borderId="4" xfId="0" applyNumberFormat="1" applyFont="1" applyBorder="1" applyAlignment="1">
      <alignment horizontal="center" vertical="center" wrapText="1"/>
    </xf>
    <xf numFmtId="10" fontId="23" fillId="0" borderId="0" xfId="0" applyNumberFormat="1" applyFont="1" applyAlignment="1">
      <alignment horizontal="center" vertical="center" wrapText="1"/>
    </xf>
    <xf numFmtId="164" fontId="0" fillId="0" borderId="0" xfId="0" applyNumberFormat="1"/>
    <xf numFmtId="0" fontId="24" fillId="0" borderId="0" xfId="0" applyFont="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3" fontId="26" fillId="0" borderId="0" xfId="0" applyNumberFormat="1" applyFont="1" applyAlignment="1">
      <alignment horizontal="center" vertical="center" wrapText="1"/>
    </xf>
    <xf numFmtId="3" fontId="26" fillId="0" borderId="4" xfId="0" applyNumberFormat="1" applyFont="1" applyBorder="1" applyAlignment="1">
      <alignment horizontal="center" vertical="center" wrapText="1"/>
    </xf>
    <xf numFmtId="2" fontId="24" fillId="0" borderId="0" xfId="0" applyNumberFormat="1" applyFont="1" applyAlignment="1">
      <alignment horizontal="center" vertical="center" wrapText="1"/>
    </xf>
    <xf numFmtId="2" fontId="24" fillId="0" borderId="4" xfId="0" applyNumberFormat="1" applyFont="1" applyBorder="1" applyAlignment="1">
      <alignment horizontal="center" vertical="center" wrapText="1"/>
    </xf>
    <xf numFmtId="2" fontId="7" fillId="0" borderId="0" xfId="0" applyNumberFormat="1" applyFont="1" applyAlignment="1">
      <alignment horizontal="center" vertical="center" wrapText="1"/>
    </xf>
    <xf numFmtId="2" fontId="7" fillId="0" borderId="4" xfId="0" applyNumberFormat="1" applyFont="1" applyBorder="1" applyAlignment="1">
      <alignment horizontal="center" vertical="center" wrapText="1"/>
    </xf>
    <xf numFmtId="165" fontId="11" fillId="0" borderId="0" xfId="0" applyNumberFormat="1" applyFont="1" applyAlignment="1">
      <alignment horizontal="center" vertical="center"/>
    </xf>
    <xf numFmtId="164" fontId="11" fillId="0" borderId="3" xfId="1" applyNumberFormat="1" applyFont="1" applyFill="1" applyBorder="1" applyAlignment="1">
      <alignment horizontal="center" vertical="center" wrapText="1"/>
    </xf>
    <xf numFmtId="164" fontId="7" fillId="0" borderId="4" xfId="1" applyNumberFormat="1" applyFont="1" applyFill="1" applyBorder="1" applyAlignment="1">
      <alignment horizontal="center" vertical="center" wrapText="1"/>
    </xf>
    <xf numFmtId="165" fontId="7" fillId="0" borderId="1" xfId="0" applyNumberFormat="1" applyFont="1" applyBorder="1" applyAlignment="1">
      <alignment horizontal="center" vertical="center" wrapText="1"/>
    </xf>
    <xf numFmtId="165" fontId="7" fillId="0" borderId="3" xfId="0" applyNumberFormat="1" applyFont="1" applyBorder="1" applyAlignment="1">
      <alignment horizontal="center" vertical="center" wrapText="1"/>
    </xf>
    <xf numFmtId="165" fontId="11" fillId="0" borderId="4" xfId="0" applyNumberFormat="1" applyFont="1" applyBorder="1" applyAlignment="1">
      <alignment horizontal="center" vertical="center" wrapText="1"/>
    </xf>
    <xf numFmtId="3" fontId="27" fillId="0" borderId="1" xfId="0" applyNumberFormat="1" applyFont="1" applyBorder="1" applyAlignment="1">
      <alignment horizontal="center" vertical="center" wrapText="1"/>
    </xf>
    <xf numFmtId="3" fontId="28" fillId="0" borderId="0" xfId="0" applyNumberFormat="1" applyFont="1" applyAlignment="1">
      <alignment horizontal="center" vertical="center" wrapText="1"/>
    </xf>
    <xf numFmtId="3" fontId="28" fillId="0" borderId="3" xfId="0" applyNumberFormat="1" applyFont="1" applyBorder="1" applyAlignment="1">
      <alignment horizontal="center" vertical="center" wrapText="1"/>
    </xf>
    <xf numFmtId="3" fontId="27" fillId="0" borderId="3" xfId="0" applyNumberFormat="1" applyFont="1" applyBorder="1" applyAlignment="1">
      <alignment horizontal="center" vertical="center" wrapText="1"/>
    </xf>
    <xf numFmtId="3" fontId="27" fillId="0" borderId="4" xfId="0" applyNumberFormat="1" applyFont="1" applyBorder="1" applyAlignment="1">
      <alignment horizontal="center" vertical="center" wrapText="1"/>
    </xf>
    <xf numFmtId="0" fontId="7" fillId="0" borderId="17" xfId="0" applyFont="1" applyBorder="1" applyAlignment="1">
      <alignment horizontal="center" vertical="center" wrapText="1"/>
    </xf>
    <xf numFmtId="0" fontId="1" fillId="0" borderId="2" xfId="0" applyFont="1" applyBorder="1" applyAlignment="1">
      <alignment vertical="center" wrapText="1"/>
    </xf>
    <xf numFmtId="0" fontId="1" fillId="0" borderId="0" xfId="0" applyFont="1" applyAlignment="1">
      <alignment vertical="center" wrapText="1"/>
    </xf>
    <xf numFmtId="0" fontId="1" fillId="0" borderId="4" xfId="0" applyFont="1" applyBorder="1" applyAlignment="1">
      <alignment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7" fillId="0" borderId="2" xfId="0" applyFont="1" applyBorder="1" applyAlignment="1">
      <alignment vertical="center" wrapText="1"/>
    </xf>
    <xf numFmtId="0" fontId="7" fillId="0" borderId="0" xfId="0" applyFont="1" applyAlignment="1">
      <alignment vertical="center" wrapText="1"/>
    </xf>
    <xf numFmtId="0" fontId="7" fillId="0" borderId="4" xfId="0" applyFont="1"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0" fillId="0" borderId="3" xfId="0" applyBorder="1" applyAlignment="1">
      <alignment vertical="center" wrapText="1"/>
    </xf>
    <xf numFmtId="0" fontId="13" fillId="0" borderId="0" xfId="0" applyFont="1" applyAlignment="1">
      <alignment horizontal="left" vertical="center" wrapText="1"/>
    </xf>
    <xf numFmtId="0" fontId="1" fillId="0" borderId="3" xfId="0" applyFont="1" applyBorder="1" applyAlignment="1">
      <alignment vertical="center" wrapText="1"/>
    </xf>
    <xf numFmtId="0" fontId="1" fillId="0" borderId="2" xfId="0" applyFont="1" applyBorder="1" applyAlignment="1">
      <alignment vertical="center"/>
    </xf>
    <xf numFmtId="0" fontId="1" fillId="0" borderId="4" xfId="0" applyFont="1" applyBorder="1" applyAlignment="1">
      <alignment vertical="center"/>
    </xf>
    <xf numFmtId="0" fontId="1" fillId="0" borderId="18" xfId="0" applyFont="1" applyBorder="1" applyAlignment="1">
      <alignment vertical="center"/>
    </xf>
    <xf numFmtId="0" fontId="1" fillId="0" borderId="18" xfId="0" applyFont="1" applyBorder="1" applyAlignment="1">
      <alignment horizontal="center" vertical="center" wrapText="1"/>
    </xf>
    <xf numFmtId="0" fontId="16" fillId="0" borderId="0" xfId="0" applyFont="1" applyAlignment="1">
      <alignment horizontal="left" vertical="center" wrapText="1"/>
    </xf>
    <xf numFmtId="0" fontId="4" fillId="0" borderId="0" xfId="0" applyFont="1" applyAlignment="1">
      <alignment horizontal="left" vertical="center"/>
    </xf>
    <xf numFmtId="0" fontId="7" fillId="0" borderId="4" xfId="0" applyFont="1" applyBorder="1" applyAlignment="1">
      <alignment horizontal="center" vertical="center" wrapText="1"/>
    </xf>
    <xf numFmtId="0" fontId="16" fillId="0" borderId="2" xfId="0" applyFont="1" applyBorder="1" applyAlignment="1">
      <alignment horizontal="left" vertical="center"/>
    </xf>
    <xf numFmtId="0" fontId="13" fillId="0" borderId="2" xfId="0" applyFont="1" applyBorder="1" applyAlignment="1">
      <alignment horizontal="left" vertical="center"/>
    </xf>
  </cellXfs>
  <cellStyles count="3">
    <cellStyle name="Normal" xfId="0" builtinId="0"/>
    <cellStyle name="Porcentagem" xfId="1" builtinId="5"/>
    <cellStyle name="Vírgula" xfId="2" builtinId="3"/>
  </cellStyles>
  <dxfs count="0"/>
  <tableStyles count="0" defaultTableStyle="TableStyleMedium2" defaultPivotStyle="PivotStyleLight16"/>
  <colors>
    <mruColors>
      <color rgb="FF006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9E6A8-233D-431A-9F5D-8403AD3D7C87}">
  <dimension ref="B2:S90"/>
  <sheetViews>
    <sheetView showGridLines="0" zoomScale="70" zoomScaleNormal="70" workbookViewId="0">
      <selection activeCell="E5" sqref="E5"/>
    </sheetView>
  </sheetViews>
  <sheetFormatPr defaultRowHeight="14.5" outlineLevelCol="1" x14ac:dyDescent="0.35"/>
  <cols>
    <col min="2" max="2" width="21.54296875" customWidth="1"/>
    <col min="3" max="5" width="14.6328125" customWidth="1"/>
    <col min="6" max="6" width="13.81640625" bestFit="1" customWidth="1"/>
    <col min="7" max="7" width="9.7265625" customWidth="1"/>
    <col min="8" max="8" width="12" bestFit="1" customWidth="1"/>
    <col min="9" max="9" width="10.453125" bestFit="1" customWidth="1"/>
    <col min="12" max="12" width="21.54296875" customWidth="1" outlineLevel="1"/>
    <col min="13" max="15" width="14.54296875" customWidth="1" outlineLevel="1"/>
    <col min="16" max="16" width="10.453125" customWidth="1" outlineLevel="1"/>
    <col min="17" max="17" width="9.7265625" customWidth="1" outlineLevel="1"/>
    <col min="18" max="19" width="8.7265625" customWidth="1" outlineLevel="1"/>
    <col min="20" max="20" width="8.7265625" customWidth="1"/>
  </cols>
  <sheetData>
    <row r="2" spans="2:17" ht="15" thickBot="1" x14ac:dyDescent="0.4">
      <c r="B2" s="5" t="s">
        <v>190</v>
      </c>
      <c r="C2" s="4"/>
      <c r="D2" s="4"/>
      <c r="E2" s="4"/>
      <c r="F2" s="4"/>
      <c r="G2" s="4"/>
      <c r="H2" s="4"/>
      <c r="I2" s="4"/>
      <c r="J2" s="4"/>
      <c r="K2" s="4"/>
      <c r="L2" s="5" t="s">
        <v>191</v>
      </c>
    </row>
    <row r="3" spans="2:17" ht="15" thickTop="1" x14ac:dyDescent="0.35">
      <c r="B3" s="148" t="s">
        <v>0</v>
      </c>
      <c r="C3" s="56" t="s">
        <v>1</v>
      </c>
      <c r="D3" s="56" t="s">
        <v>2</v>
      </c>
      <c r="E3" s="56" t="s">
        <v>3</v>
      </c>
      <c r="F3" s="145" t="s">
        <v>4</v>
      </c>
      <c r="G3" s="1"/>
      <c r="H3" s="1"/>
      <c r="I3" s="1"/>
      <c r="J3" s="1"/>
      <c r="L3" s="142" t="s">
        <v>5</v>
      </c>
      <c r="M3" s="19" t="s">
        <v>6</v>
      </c>
      <c r="N3" s="19" t="s">
        <v>6</v>
      </c>
      <c r="O3" s="19" t="s">
        <v>7</v>
      </c>
      <c r="P3" s="145" t="s">
        <v>4</v>
      </c>
    </row>
    <row r="4" spans="2:17" ht="15" thickBot="1" x14ac:dyDescent="0.4">
      <c r="B4" s="149"/>
      <c r="C4" s="8" t="s">
        <v>8</v>
      </c>
      <c r="D4" s="8" t="s">
        <v>9</v>
      </c>
      <c r="E4" s="8" t="s">
        <v>9</v>
      </c>
      <c r="F4" s="146"/>
      <c r="G4" s="1"/>
      <c r="H4" s="1"/>
      <c r="I4" s="1"/>
      <c r="J4" s="1"/>
      <c r="L4" s="143"/>
      <c r="M4" s="1" t="s">
        <v>8</v>
      </c>
      <c r="N4" s="1" t="s">
        <v>9</v>
      </c>
      <c r="O4" s="1" t="s">
        <v>9</v>
      </c>
      <c r="P4" s="146"/>
    </row>
    <row r="5" spans="2:17" ht="23.15" customHeight="1" thickBot="1" x14ac:dyDescent="0.4">
      <c r="B5" s="150"/>
      <c r="C5" s="141" t="s">
        <v>10</v>
      </c>
      <c r="D5" s="141"/>
      <c r="E5" s="18" t="s">
        <v>11</v>
      </c>
      <c r="F5" s="147"/>
      <c r="G5" s="1"/>
      <c r="H5" s="1"/>
      <c r="I5" s="1"/>
      <c r="J5" s="1"/>
      <c r="L5" s="144"/>
      <c r="M5" s="147" t="s">
        <v>10</v>
      </c>
      <c r="N5" s="147"/>
      <c r="O5" s="20" t="s">
        <v>11</v>
      </c>
      <c r="P5" s="147"/>
    </row>
    <row r="6" spans="2:17" ht="15.5" thickTop="1" thickBot="1" x14ac:dyDescent="0.4">
      <c r="B6" s="10" t="s">
        <v>306</v>
      </c>
      <c r="C6" s="46">
        <v>176985</v>
      </c>
      <c r="D6" s="46">
        <v>162243</v>
      </c>
      <c r="E6" s="70">
        <f>D6/$D$12</f>
        <v>0.24057955111627796</v>
      </c>
      <c r="F6" s="70">
        <f>D6/C6-1</f>
        <v>-8.3295194508009152E-2</v>
      </c>
      <c r="G6" s="108"/>
      <c r="H6" s="108"/>
      <c r="I6" s="108"/>
      <c r="J6" s="108"/>
      <c r="L6" s="10" t="s">
        <v>309</v>
      </c>
      <c r="M6" s="46" t="str">
        <f>IF(C6&lt;0,CONCATENATE("(",SUBSTITUTE(SUBSTITUTE(SUBSTITUTE(SUBSTITUTE(TEXT(C6,"#.##0"),",","*"),".",","),"*","."),"-",""),")"),IF(C6=0,"       -",SUBSTITUTE(SUBSTITUTE(SUBSTITUTE(TEXT(C6,"#.##0"),",","*"),".",","),"*",".")))</f>
        <v>176,985</v>
      </c>
      <c r="N6" s="46" t="str">
        <f>IF(D6&lt;0,CONCATENATE("(",SUBSTITUTE(SUBSTITUTE(SUBSTITUTE(SUBSTITUTE(TEXT(D6,"#.##0"),",","*"),".",","),"*","."),"-",""),")"),IF(D6=0,"       -",SUBSTITUTE(SUBSTITUTE(SUBSTITUTE(TEXT(D6,"#.##0"),",","*"),".",","),"*",".")))</f>
        <v>162,243</v>
      </c>
      <c r="O6" s="47" t="str">
        <f>SUBSTITUTE(TEXT(E6,"0,0%"),",",".")</f>
        <v>24.1%</v>
      </c>
      <c r="P6" s="47" t="str">
        <f>SUBSTITUTE(TEXT(F6,"0,0%"),",",".")</f>
        <v>-8.3%</v>
      </c>
    </row>
    <row r="7" spans="2:17" x14ac:dyDescent="0.35">
      <c r="B7" s="12" t="s">
        <v>307</v>
      </c>
      <c r="C7" s="48">
        <v>86357</v>
      </c>
      <c r="D7" s="48">
        <v>85823</v>
      </c>
      <c r="E7" s="66">
        <f t="shared" ref="E7:E12" si="0">D7/$D$12</f>
        <v>0.12726132292581083</v>
      </c>
      <c r="F7" s="66">
        <f t="shared" ref="F7:F12" si="1">D7/C7-1</f>
        <v>-6.1836330581191978E-3</v>
      </c>
      <c r="G7" s="108"/>
      <c r="H7" s="108"/>
      <c r="I7" s="108"/>
      <c r="J7" s="108"/>
      <c r="L7" s="12" t="s">
        <v>310</v>
      </c>
      <c r="M7" s="48" t="str">
        <f t="shared" ref="M7:N12" si="2">IF(C7&lt;0,CONCATENATE("(",SUBSTITUTE(SUBSTITUTE(SUBSTITUTE(SUBSTITUTE(TEXT(C7,"#.##0"),",","*"),".",","),"*","."),"-",""),")"),IF(C7=0,"       -",SUBSTITUTE(SUBSTITUTE(SUBSTITUTE(TEXT(C7,"#.##0"),",","*"),".",","),"*",".")))</f>
        <v>86,357</v>
      </c>
      <c r="N7" s="48" t="str">
        <f t="shared" si="2"/>
        <v>85,823</v>
      </c>
      <c r="O7" s="49" t="str">
        <f t="shared" ref="O7:P12" si="3">SUBSTITUTE(TEXT(E7,"0,0%"),",",".")</f>
        <v>12.7%</v>
      </c>
      <c r="P7" s="49" t="str">
        <f t="shared" si="3"/>
        <v>-0.6%</v>
      </c>
    </row>
    <row r="8" spans="2:17" ht="15" thickBot="1" x14ac:dyDescent="0.4">
      <c r="B8" s="14" t="s">
        <v>308</v>
      </c>
      <c r="C8" s="50">
        <v>90628</v>
      </c>
      <c r="D8" s="50">
        <v>76420</v>
      </c>
      <c r="E8" s="67">
        <f t="shared" si="0"/>
        <v>0.11331822819046715</v>
      </c>
      <c r="F8" s="67">
        <f t="shared" si="1"/>
        <v>-0.15677274131614949</v>
      </c>
      <c r="G8" s="108"/>
      <c r="H8" s="108"/>
      <c r="I8" s="108"/>
      <c r="J8" s="108"/>
      <c r="L8" s="14" t="s">
        <v>311</v>
      </c>
      <c r="M8" s="50" t="str">
        <f t="shared" si="2"/>
        <v>90,628</v>
      </c>
      <c r="N8" s="50" t="str">
        <f t="shared" si="2"/>
        <v>76,420</v>
      </c>
      <c r="O8" s="51" t="str">
        <f t="shared" si="3"/>
        <v>11.3%</v>
      </c>
      <c r="P8" s="51" t="str">
        <f t="shared" si="3"/>
        <v>-15.7%</v>
      </c>
    </row>
    <row r="9" spans="2:17" ht="15" thickBot="1" x14ac:dyDescent="0.4">
      <c r="B9" s="9" t="s">
        <v>14</v>
      </c>
      <c r="C9" s="52">
        <v>334891</v>
      </c>
      <c r="D9" s="52">
        <v>346941</v>
      </c>
      <c r="E9" s="69">
        <f t="shared" si="0"/>
        <v>0.51445615554342927</v>
      </c>
      <c r="F9" s="69">
        <f t="shared" si="1"/>
        <v>3.5981856783251942E-2</v>
      </c>
      <c r="G9" s="108"/>
      <c r="H9" s="108"/>
      <c r="I9" s="108"/>
      <c r="J9" s="108"/>
      <c r="L9" s="9" t="s">
        <v>15</v>
      </c>
      <c r="M9" s="52" t="str">
        <f t="shared" si="2"/>
        <v>334,891</v>
      </c>
      <c r="N9" s="52" t="str">
        <f t="shared" si="2"/>
        <v>346,941</v>
      </c>
      <c r="O9" s="53" t="str">
        <f t="shared" si="3"/>
        <v>51.4%</v>
      </c>
      <c r="P9" s="53" t="str">
        <f t="shared" si="3"/>
        <v>3.6%</v>
      </c>
    </row>
    <row r="10" spans="2:17" ht="15" thickBot="1" x14ac:dyDescent="0.4">
      <c r="B10" s="9" t="s">
        <v>16</v>
      </c>
      <c r="C10" s="52">
        <v>121633</v>
      </c>
      <c r="D10" s="52">
        <v>137585</v>
      </c>
      <c r="E10" s="69">
        <f t="shared" si="0"/>
        <v>0.20401581294929891</v>
      </c>
      <c r="F10" s="69">
        <f t="shared" si="1"/>
        <v>0.13114861920695864</v>
      </c>
      <c r="G10" s="108"/>
      <c r="H10" s="108"/>
      <c r="I10" s="108"/>
      <c r="J10" s="108"/>
      <c r="L10" s="9" t="s">
        <v>17</v>
      </c>
      <c r="M10" s="52" t="str">
        <f t="shared" si="2"/>
        <v>121,633</v>
      </c>
      <c r="N10" s="52" t="str">
        <f t="shared" si="2"/>
        <v>137,585</v>
      </c>
      <c r="O10" s="53" t="str">
        <f t="shared" si="3"/>
        <v>20.4%</v>
      </c>
      <c r="P10" s="53" t="str">
        <f t="shared" si="3"/>
        <v>13.1%</v>
      </c>
    </row>
    <row r="11" spans="2:17" ht="15" thickBot="1" x14ac:dyDescent="0.4">
      <c r="B11" s="16" t="s">
        <v>300</v>
      </c>
      <c r="C11" s="50">
        <v>38437</v>
      </c>
      <c r="D11" s="50">
        <v>27615</v>
      </c>
      <c r="E11" s="67">
        <f t="shared" si="0"/>
        <v>4.0948480390993858E-2</v>
      </c>
      <c r="F11" s="67">
        <f t="shared" si="1"/>
        <v>-0.28155162993990168</v>
      </c>
      <c r="G11" s="108"/>
      <c r="H11" s="108"/>
      <c r="I11" s="108"/>
      <c r="J11" s="108"/>
      <c r="L11" s="16" t="s">
        <v>302</v>
      </c>
      <c r="M11" s="50" t="str">
        <f t="shared" si="2"/>
        <v>38,437</v>
      </c>
      <c r="N11" s="50" t="str">
        <f>IF(D11&lt;0,CONCATENATE("(",SUBSTITUTE(SUBSTITUTE(SUBSTITUTE(SUBSTITUTE(TEXT(D11,"#.##0"),",","*"),".",","),"*","."),"-",""),")"),IF(D11=0,"       -",SUBSTITUTE(SUBSTITUTE(SUBSTITUTE(TEXT(D11,"#.##0"),",","*"),".",","),"*",".")))</f>
        <v>27,615</v>
      </c>
      <c r="O11" s="51" t="str">
        <f>SUBSTITUTE(TEXT(E11,"0,0%"),",",".")</f>
        <v>4.1%</v>
      </c>
      <c r="P11" s="51" t="str">
        <f t="shared" si="3"/>
        <v>-28.2%</v>
      </c>
    </row>
    <row r="12" spans="2:17" ht="15" thickBot="1" x14ac:dyDescent="0.4">
      <c r="B12" s="17" t="s">
        <v>20</v>
      </c>
      <c r="C12" s="54">
        <v>671946</v>
      </c>
      <c r="D12" s="54">
        <v>674384</v>
      </c>
      <c r="E12" s="68">
        <f t="shared" si="0"/>
        <v>1</v>
      </c>
      <c r="F12" s="68">
        <f t="shared" si="1"/>
        <v>3.628267747705971E-3</v>
      </c>
      <c r="G12" s="108"/>
      <c r="H12" s="108"/>
      <c r="I12" s="108"/>
      <c r="J12" s="108"/>
      <c r="L12" s="17" t="s">
        <v>21</v>
      </c>
      <c r="M12" s="54" t="str">
        <f t="shared" si="2"/>
        <v>671,946</v>
      </c>
      <c r="N12" s="54" t="str">
        <f t="shared" si="2"/>
        <v>674,384</v>
      </c>
      <c r="O12" s="55" t="str">
        <f t="shared" si="3"/>
        <v>100.0%</v>
      </c>
      <c r="P12" s="55" t="str">
        <f t="shared" si="3"/>
        <v>0.4%</v>
      </c>
    </row>
    <row r="13" spans="2:17" ht="29.15" customHeight="1" thickTop="1" x14ac:dyDescent="0.35">
      <c r="B13" s="160" t="s">
        <v>210</v>
      </c>
      <c r="C13" s="160"/>
      <c r="D13" s="160"/>
      <c r="E13" s="160"/>
      <c r="F13" s="160"/>
      <c r="G13" s="2"/>
      <c r="H13" s="2"/>
      <c r="I13" s="119"/>
      <c r="J13" s="2"/>
      <c r="L13" s="154" t="s">
        <v>301</v>
      </c>
      <c r="M13" s="154"/>
      <c r="N13" s="154"/>
      <c r="O13" s="154"/>
      <c r="P13" s="154"/>
    </row>
    <row r="15" spans="2:17" ht="15" thickTop="1" x14ac:dyDescent="0.35">
      <c r="B15" s="5" t="s">
        <v>295</v>
      </c>
      <c r="C15" s="4"/>
      <c r="D15" s="4"/>
      <c r="E15" s="4"/>
      <c r="F15" s="4"/>
      <c r="G15" s="4"/>
      <c r="H15" s="4"/>
      <c r="I15" s="4"/>
      <c r="J15" s="4"/>
      <c r="K15" s="4"/>
      <c r="L15" s="5" t="s">
        <v>296</v>
      </c>
    </row>
    <row r="16" spans="2:17" ht="15" thickTop="1" x14ac:dyDescent="0.35">
      <c r="B16" s="142" t="s">
        <v>24</v>
      </c>
      <c r="C16" s="19" t="s">
        <v>25</v>
      </c>
      <c r="D16" s="19" t="s">
        <v>26</v>
      </c>
      <c r="E16" s="19" t="s">
        <v>26</v>
      </c>
      <c r="F16" s="19" t="s">
        <v>27</v>
      </c>
      <c r="G16" s="19" t="s">
        <v>27</v>
      </c>
      <c r="L16" s="142" t="s">
        <v>28</v>
      </c>
      <c r="M16" s="19" t="s">
        <v>29</v>
      </c>
      <c r="N16" s="19" t="s">
        <v>30</v>
      </c>
      <c r="O16" s="19" t="s">
        <v>30</v>
      </c>
      <c r="P16" s="19" t="s">
        <v>27</v>
      </c>
      <c r="Q16" s="19" t="s">
        <v>27</v>
      </c>
    </row>
    <row r="17" spans="2:17" ht="15" thickBot="1" x14ac:dyDescent="0.4">
      <c r="B17" s="155"/>
      <c r="C17" s="28" t="s">
        <v>31</v>
      </c>
      <c r="D17" s="29" t="s">
        <v>32</v>
      </c>
      <c r="E17" s="29" t="s">
        <v>202</v>
      </c>
      <c r="F17" s="29" t="s">
        <v>34</v>
      </c>
      <c r="G17" s="29" t="s">
        <v>35</v>
      </c>
      <c r="L17" s="155"/>
      <c r="M17" s="28" t="s">
        <v>36</v>
      </c>
      <c r="N17" s="29" t="s">
        <v>37</v>
      </c>
      <c r="O17" s="29" t="s">
        <v>38</v>
      </c>
      <c r="P17" s="29" t="s">
        <v>34</v>
      </c>
      <c r="Q17" s="29" t="s">
        <v>35</v>
      </c>
    </row>
    <row r="18" spans="2:17" x14ac:dyDescent="0.35">
      <c r="B18" s="22" t="s">
        <v>39</v>
      </c>
      <c r="C18" s="57">
        <v>1682</v>
      </c>
      <c r="D18" s="58">
        <v>1927</v>
      </c>
      <c r="E18" s="58">
        <v>2000</v>
      </c>
      <c r="F18" s="88">
        <v>0.189</v>
      </c>
      <c r="G18" s="88">
        <v>3.7999999999999999E-2</v>
      </c>
      <c r="H18" s="109"/>
      <c r="I18" s="109"/>
      <c r="J18" s="109"/>
      <c r="L18" s="22" t="s">
        <v>40</v>
      </c>
      <c r="M18" s="57" t="str">
        <f>IF(C18&lt;0,CONCATENATE("(",SUBSTITUTE(SUBSTITUTE(SUBSTITUTE(SUBSTITUTE(TEXT(C18,"#.##0"),",","*"),".",","),"*","."),"-",""),")"),IF(C18=0,"       -",SUBSTITUTE(SUBSTITUTE(SUBSTITUTE(TEXT(C18,"#.##0"),",","*"),".",","),"*",".")))</f>
        <v>1,682</v>
      </c>
      <c r="N18" s="58" t="str">
        <f t="shared" ref="M18:N22" si="4">IF(D18&lt;0,CONCATENATE("(",SUBSTITUTE(SUBSTITUTE(SUBSTITUTE(SUBSTITUTE(TEXT(D18,"#.##0"),",","*"),".",","),"*","."),"-",""),")"),IF(D18=0,"       -",SUBSTITUTE(SUBSTITUTE(SUBSTITUTE(TEXT(D18,"#.##0"),",","*"),".",","),"*",".")))</f>
        <v>1,927</v>
      </c>
      <c r="O18" s="58" t="str">
        <f>IF(E18&lt;0,CONCATENATE("(",SUBSTITUTE(SUBSTITUTE(SUBSTITUTE(SUBSTITUTE(TEXT(E18,"#.##0"),",","*"),".",","),"*","."),"-",""),")"),IF(E18=0,"       -",SUBSTITUTE(SUBSTITUTE(SUBSTITUTE(TEXT(E18,"#.##0"),",","*"),".",","),"*",".")))</f>
        <v>2,000</v>
      </c>
      <c r="P18" s="59" t="str">
        <f>SUBSTITUTE(TEXT(F18,"0,0%"),",",".")</f>
        <v>18.9%</v>
      </c>
      <c r="Q18" s="59" t="str">
        <f>SUBSTITUTE(TEXT(G18,"0,0%"),",",".")</f>
        <v>3.8%</v>
      </c>
    </row>
    <row r="19" spans="2:17" x14ac:dyDescent="0.35">
      <c r="B19" s="23" t="s">
        <v>41</v>
      </c>
      <c r="C19" s="60">
        <v>1305</v>
      </c>
      <c r="D19" s="48">
        <v>1839</v>
      </c>
      <c r="E19" s="48">
        <v>2037</v>
      </c>
      <c r="F19" s="66">
        <v>0.56100000000000005</v>
      </c>
      <c r="G19" s="66">
        <v>0.108</v>
      </c>
      <c r="H19" s="109"/>
      <c r="I19" s="109"/>
      <c r="J19" s="109"/>
      <c r="L19" s="23" t="s">
        <v>312</v>
      </c>
      <c r="M19" s="60" t="str">
        <f t="shared" si="4"/>
        <v>1,305</v>
      </c>
      <c r="N19" s="48" t="str">
        <f t="shared" si="4"/>
        <v>1,839</v>
      </c>
      <c r="O19" s="48" t="str">
        <f t="shared" ref="O19:O22" si="5">IF(E19&lt;0,CONCATENATE("(",SUBSTITUTE(SUBSTITUTE(SUBSTITUTE(SUBSTITUTE(TEXT(E19,"#.##0"),",","*"),".",","),"*","."),"-",""),")"),IF(E19=0,"       -",SUBSTITUTE(SUBSTITUTE(SUBSTITUTE(TEXT(E19,"#.##0"),",","*"),".",","),"*",".")))</f>
        <v>2,037</v>
      </c>
      <c r="P19" s="49" t="str">
        <f t="shared" ref="P19:Q22" si="6">SUBSTITUTE(TEXT(F19,"0,0%"),",",".")</f>
        <v>56.1%</v>
      </c>
      <c r="Q19" s="49" t="str">
        <f t="shared" si="6"/>
        <v>10.8%</v>
      </c>
    </row>
    <row r="20" spans="2:17" x14ac:dyDescent="0.35">
      <c r="B20" s="23" t="s">
        <v>42</v>
      </c>
      <c r="C20" s="60">
        <v>1833</v>
      </c>
      <c r="D20" s="48">
        <v>2372</v>
      </c>
      <c r="E20" s="48">
        <v>2491</v>
      </c>
      <c r="F20" s="66">
        <v>0.35899999999999999</v>
      </c>
      <c r="G20" s="66">
        <v>0.05</v>
      </c>
      <c r="H20" s="109"/>
      <c r="I20" s="109"/>
      <c r="J20" s="109"/>
      <c r="L20" s="23" t="s">
        <v>185</v>
      </c>
      <c r="M20" s="60" t="str">
        <f t="shared" si="4"/>
        <v>1,833</v>
      </c>
      <c r="N20" s="48" t="str">
        <f t="shared" si="4"/>
        <v>2,372</v>
      </c>
      <c r="O20" s="48" t="str">
        <f t="shared" si="5"/>
        <v>2,491</v>
      </c>
      <c r="P20" s="49" t="str">
        <f>SUBSTITUTE(TEXT(F20,"0,0%"),",",".")</f>
        <v>35.9%</v>
      </c>
      <c r="Q20" s="49" t="str">
        <f>SUBSTITUTE(TEXT(G20,"0,0%"),",",".")</f>
        <v>5.0%</v>
      </c>
    </row>
    <row r="21" spans="2:17" x14ac:dyDescent="0.35">
      <c r="B21" s="23" t="s">
        <v>14</v>
      </c>
      <c r="C21" s="60">
        <v>3974</v>
      </c>
      <c r="D21" s="48">
        <v>3918</v>
      </c>
      <c r="E21" s="48">
        <v>3904</v>
      </c>
      <c r="F21" s="66">
        <v>-1.7999999999999999E-2</v>
      </c>
      <c r="G21" s="66">
        <v>-4.0000000000000001E-3</v>
      </c>
      <c r="H21" s="109"/>
      <c r="I21" s="109"/>
      <c r="J21" s="109"/>
      <c r="L21" s="23" t="s">
        <v>15</v>
      </c>
      <c r="M21" s="60" t="str">
        <f t="shared" si="4"/>
        <v>3,974</v>
      </c>
      <c r="N21" s="48" t="str">
        <f t="shared" si="4"/>
        <v>3,918</v>
      </c>
      <c r="O21" s="48" t="str">
        <f t="shared" si="5"/>
        <v>3,904</v>
      </c>
      <c r="P21" s="49" t="str">
        <f t="shared" si="6"/>
        <v>-1.8%</v>
      </c>
      <c r="Q21" s="49" t="str">
        <f t="shared" si="6"/>
        <v>-0.4%</v>
      </c>
    </row>
    <row r="22" spans="2:17" ht="15" thickBot="1" x14ac:dyDescent="0.4">
      <c r="B22" s="25" t="s">
        <v>16</v>
      </c>
      <c r="C22" s="61">
        <v>6303</v>
      </c>
      <c r="D22" s="62">
        <v>7685</v>
      </c>
      <c r="E22" s="62">
        <v>7708</v>
      </c>
      <c r="F22" s="89">
        <f>E22/C22-1</f>
        <v>0.22290972552752653</v>
      </c>
      <c r="G22" s="89">
        <v>3.0000000000000001E-3</v>
      </c>
      <c r="H22" s="109"/>
      <c r="I22" s="109"/>
      <c r="J22" s="109"/>
      <c r="L22" s="25" t="s">
        <v>43</v>
      </c>
      <c r="M22" s="61" t="str">
        <f>IF(C22&lt;0,CONCATENATE("(",SUBSTITUTE(SUBSTITUTE(SUBSTITUTE(SUBSTITUTE(TEXT(C22,"#.##0"),",","*"),".",","),"*","."),"-",""),")"),IF(C22=0,"       -",SUBSTITUTE(SUBSTITUTE(SUBSTITUTE(TEXT(C22,"#.##0"),",","*"),".",","),"*",".")))</f>
        <v>6,303</v>
      </c>
      <c r="N22" s="62" t="str">
        <f t="shared" si="4"/>
        <v>7,685</v>
      </c>
      <c r="O22" s="62" t="str">
        <f t="shared" si="5"/>
        <v>7,708</v>
      </c>
      <c r="P22" s="63" t="str">
        <f t="shared" si="6"/>
        <v>22.3%</v>
      </c>
      <c r="Q22" s="63" t="str">
        <f>SUBSTITUTE(TEXT(G22,"0,0%"),",",".")</f>
        <v>0.3%</v>
      </c>
    </row>
    <row r="23" spans="2:17" ht="15" thickTop="1" x14ac:dyDescent="0.35"/>
    <row r="25" spans="2:17" ht="15" thickBot="1" x14ac:dyDescent="0.4">
      <c r="B25" s="5" t="s">
        <v>223</v>
      </c>
      <c r="L25" s="5" t="s">
        <v>278</v>
      </c>
    </row>
    <row r="26" spans="2:17" ht="22" customHeight="1" thickTop="1" thickBot="1" x14ac:dyDescent="0.4">
      <c r="B26" s="30" t="s">
        <v>11</v>
      </c>
      <c r="C26" s="31" t="s">
        <v>12</v>
      </c>
      <c r="D26" s="31" t="s">
        <v>44</v>
      </c>
      <c r="E26" s="32" t="s">
        <v>45</v>
      </c>
      <c r="F26" s="32" t="s">
        <v>224</v>
      </c>
      <c r="G26" s="32" t="s">
        <v>225</v>
      </c>
      <c r="L26" s="30" t="s">
        <v>11</v>
      </c>
      <c r="M26" s="31" t="s">
        <v>13</v>
      </c>
      <c r="N26" s="31" t="s">
        <v>46</v>
      </c>
      <c r="O26" s="32" t="s">
        <v>47</v>
      </c>
      <c r="P26" s="32" t="s">
        <v>226</v>
      </c>
      <c r="Q26" s="32" t="s">
        <v>227</v>
      </c>
    </row>
    <row r="27" spans="2:17" ht="15.5" thickTop="1" thickBot="1" x14ac:dyDescent="0.4">
      <c r="B27" s="33" t="s">
        <v>48</v>
      </c>
      <c r="C27" s="71">
        <v>82.8</v>
      </c>
      <c r="D27" s="71">
        <v>74.8</v>
      </c>
      <c r="E27" s="11">
        <v>81.5</v>
      </c>
      <c r="F27" s="11">
        <v>80.400000000000006</v>
      </c>
      <c r="G27" s="11">
        <v>79.599999999999994</v>
      </c>
      <c r="L27" s="33" t="s">
        <v>49</v>
      </c>
      <c r="M27" s="71" t="s">
        <v>228</v>
      </c>
      <c r="N27" s="71" t="s">
        <v>50</v>
      </c>
      <c r="O27" s="11" t="s">
        <v>229</v>
      </c>
      <c r="P27" s="11" t="s">
        <v>230</v>
      </c>
      <c r="Q27" s="11" t="s">
        <v>51</v>
      </c>
    </row>
    <row r="28" spans="2:17" x14ac:dyDescent="0.35">
      <c r="B28" s="34" t="s">
        <v>52</v>
      </c>
      <c r="C28" s="24">
        <v>8.5</v>
      </c>
      <c r="D28" s="24">
        <v>14.2</v>
      </c>
      <c r="E28" s="13">
        <v>18.399999999999999</v>
      </c>
      <c r="F28" s="13">
        <v>11.4</v>
      </c>
      <c r="G28" s="13">
        <v>12.7</v>
      </c>
      <c r="L28" s="34" t="s">
        <v>53</v>
      </c>
      <c r="M28" s="24" t="s">
        <v>97</v>
      </c>
      <c r="N28" s="24" t="s">
        <v>231</v>
      </c>
      <c r="O28" s="13" t="s">
        <v>232</v>
      </c>
      <c r="P28" s="13" t="s">
        <v>233</v>
      </c>
      <c r="Q28" s="13" t="s">
        <v>54</v>
      </c>
    </row>
    <row r="29" spans="2:17" x14ac:dyDescent="0.35">
      <c r="B29" s="34" t="s">
        <v>55</v>
      </c>
      <c r="C29" s="24">
        <v>24.2</v>
      </c>
      <c r="D29" s="24">
        <v>15.5</v>
      </c>
      <c r="E29" s="13">
        <v>34</v>
      </c>
      <c r="F29" s="13">
        <v>23</v>
      </c>
      <c r="G29" s="13">
        <v>25.4</v>
      </c>
      <c r="L29" s="34" t="s">
        <v>56</v>
      </c>
      <c r="M29" s="24" t="s">
        <v>234</v>
      </c>
      <c r="N29" s="24" t="s">
        <v>235</v>
      </c>
      <c r="O29" s="13">
        <v>34</v>
      </c>
      <c r="P29" s="13">
        <v>23</v>
      </c>
      <c r="Q29" s="13" t="s">
        <v>57</v>
      </c>
    </row>
    <row r="30" spans="2:17" x14ac:dyDescent="0.35">
      <c r="B30" s="34" t="s">
        <v>58</v>
      </c>
      <c r="C30" s="24">
        <v>24.7</v>
      </c>
      <c r="D30" s="24">
        <v>19.399999999999999</v>
      </c>
      <c r="E30" s="13">
        <v>13.3</v>
      </c>
      <c r="F30" s="13">
        <v>21.7</v>
      </c>
      <c r="G30" s="13">
        <v>18.8</v>
      </c>
      <c r="L30" s="34" t="s">
        <v>59</v>
      </c>
      <c r="M30" s="24" t="s">
        <v>236</v>
      </c>
      <c r="N30" s="24" t="s">
        <v>237</v>
      </c>
      <c r="O30" s="13" t="s">
        <v>238</v>
      </c>
      <c r="P30" s="13" t="s">
        <v>239</v>
      </c>
      <c r="Q30" s="13" t="s">
        <v>60</v>
      </c>
    </row>
    <row r="31" spans="2:17" x14ac:dyDescent="0.35">
      <c r="B31" s="34" t="s">
        <v>61</v>
      </c>
      <c r="C31" s="24">
        <v>1.9</v>
      </c>
      <c r="D31" s="24">
        <v>1.7</v>
      </c>
      <c r="E31" s="13">
        <v>1.5</v>
      </c>
      <c r="F31" s="13">
        <v>1.7</v>
      </c>
      <c r="G31" s="13">
        <v>1.3</v>
      </c>
      <c r="L31" s="34" t="s">
        <v>62</v>
      </c>
      <c r="M31" s="24" t="s">
        <v>240</v>
      </c>
      <c r="N31" s="24" t="s">
        <v>63</v>
      </c>
      <c r="O31" s="13" t="s">
        <v>64</v>
      </c>
      <c r="P31" s="13" t="s">
        <v>63</v>
      </c>
      <c r="Q31" s="13" t="s">
        <v>65</v>
      </c>
    </row>
    <row r="32" spans="2:17" x14ac:dyDescent="0.35">
      <c r="B32" s="34" t="s">
        <v>66</v>
      </c>
      <c r="C32" s="24">
        <v>3.1</v>
      </c>
      <c r="D32" s="24">
        <v>5.3</v>
      </c>
      <c r="E32" s="13">
        <v>3.8</v>
      </c>
      <c r="F32" s="13">
        <v>3.8</v>
      </c>
      <c r="G32" s="13">
        <v>4.5999999999999996</v>
      </c>
      <c r="L32" s="34" t="s">
        <v>67</v>
      </c>
      <c r="M32" s="24" t="s">
        <v>241</v>
      </c>
      <c r="N32" s="24" t="s">
        <v>242</v>
      </c>
      <c r="O32" s="13" t="s">
        <v>81</v>
      </c>
      <c r="P32" s="13" t="s">
        <v>81</v>
      </c>
      <c r="Q32" s="13" t="s">
        <v>70</v>
      </c>
    </row>
    <row r="33" spans="2:18" x14ac:dyDescent="0.35">
      <c r="B33" s="34" t="s">
        <v>71</v>
      </c>
      <c r="C33" s="24">
        <v>0.7</v>
      </c>
      <c r="D33" s="24">
        <v>0.7</v>
      </c>
      <c r="E33" s="13">
        <v>0.5</v>
      </c>
      <c r="F33" s="13">
        <v>0.7</v>
      </c>
      <c r="G33" s="13">
        <v>0.8</v>
      </c>
      <c r="L33" s="34" t="s">
        <v>72</v>
      </c>
      <c r="M33" s="24" t="s">
        <v>243</v>
      </c>
      <c r="N33" s="24" t="s">
        <v>243</v>
      </c>
      <c r="O33" s="13" t="s">
        <v>244</v>
      </c>
      <c r="P33" s="13" t="s">
        <v>243</v>
      </c>
      <c r="Q33" s="13" t="s">
        <v>73</v>
      </c>
    </row>
    <row r="34" spans="2:18" x14ac:dyDescent="0.35">
      <c r="B34" s="34" t="s">
        <v>74</v>
      </c>
      <c r="C34" s="130">
        <v>9</v>
      </c>
      <c r="D34" s="24">
        <v>3.8</v>
      </c>
      <c r="E34" s="13">
        <v>2.4</v>
      </c>
      <c r="F34" s="13">
        <v>6.7</v>
      </c>
      <c r="G34" s="13">
        <v>4.8</v>
      </c>
      <c r="L34" s="34" t="s">
        <v>75</v>
      </c>
      <c r="M34" s="24" t="s">
        <v>257</v>
      </c>
      <c r="N34" s="24" t="s">
        <v>81</v>
      </c>
      <c r="O34" s="13" t="s">
        <v>76</v>
      </c>
      <c r="P34" s="13" t="s">
        <v>245</v>
      </c>
      <c r="Q34" s="13" t="s">
        <v>77</v>
      </c>
    </row>
    <row r="35" spans="2:18" x14ac:dyDescent="0.35">
      <c r="B35" s="34" t="s">
        <v>78</v>
      </c>
      <c r="C35" s="24">
        <v>4.9000000000000004</v>
      </c>
      <c r="D35" s="24">
        <v>4.8</v>
      </c>
      <c r="E35" s="13">
        <v>3.2</v>
      </c>
      <c r="F35" s="13">
        <v>4.5999999999999996</v>
      </c>
      <c r="G35" s="13">
        <v>4.0999999999999996</v>
      </c>
      <c r="L35" s="34" t="s">
        <v>79</v>
      </c>
      <c r="M35" s="24" t="s">
        <v>246</v>
      </c>
      <c r="N35" s="24" t="s">
        <v>77</v>
      </c>
      <c r="O35" s="13" t="s">
        <v>247</v>
      </c>
      <c r="P35" s="13" t="s">
        <v>70</v>
      </c>
      <c r="Q35" s="13" t="s">
        <v>83</v>
      </c>
    </row>
    <row r="36" spans="2:18" ht="15" thickBot="1" x14ac:dyDescent="0.4">
      <c r="B36" s="35" t="s">
        <v>84</v>
      </c>
      <c r="C36" s="36">
        <v>5.8</v>
      </c>
      <c r="D36" s="36">
        <v>9.5</v>
      </c>
      <c r="E36" s="15">
        <v>4.4000000000000004</v>
      </c>
      <c r="F36" s="15">
        <v>6.7</v>
      </c>
      <c r="G36" s="15">
        <v>7.1</v>
      </c>
      <c r="L36" s="35" t="s">
        <v>85</v>
      </c>
      <c r="M36" s="36" t="s">
        <v>248</v>
      </c>
      <c r="N36" s="36" t="s">
        <v>249</v>
      </c>
      <c r="O36" s="15" t="s">
        <v>80</v>
      </c>
      <c r="P36" s="15" t="s">
        <v>245</v>
      </c>
      <c r="Q36" s="15" t="s">
        <v>87</v>
      </c>
    </row>
    <row r="37" spans="2:18" ht="15" thickBot="1" x14ac:dyDescent="0.4">
      <c r="B37" s="33" t="s">
        <v>88</v>
      </c>
      <c r="C37" s="21">
        <v>17.2</v>
      </c>
      <c r="D37" s="21">
        <v>25.2</v>
      </c>
      <c r="E37" s="8">
        <v>18.5</v>
      </c>
      <c r="F37" s="8">
        <v>19.600000000000001</v>
      </c>
      <c r="G37" s="8">
        <v>20.399999999999999</v>
      </c>
      <c r="L37" s="33" t="s">
        <v>89</v>
      </c>
      <c r="M37" s="21" t="s">
        <v>250</v>
      </c>
      <c r="N37" s="21" t="s">
        <v>90</v>
      </c>
      <c r="O37" s="8" t="s">
        <v>251</v>
      </c>
      <c r="P37" s="8" t="s">
        <v>252</v>
      </c>
      <c r="Q37" s="8" t="s">
        <v>91</v>
      </c>
    </row>
    <row r="38" spans="2:18" x14ac:dyDescent="0.35">
      <c r="B38" s="34" t="s">
        <v>71</v>
      </c>
      <c r="C38" s="24">
        <v>6.2</v>
      </c>
      <c r="D38" s="24">
        <v>8.1</v>
      </c>
      <c r="E38" s="13">
        <v>6.1</v>
      </c>
      <c r="F38" s="13">
        <v>6.7</v>
      </c>
      <c r="G38" s="13">
        <v>7.2</v>
      </c>
      <c r="L38" s="34" t="s">
        <v>72</v>
      </c>
      <c r="M38" s="24" t="s">
        <v>98</v>
      </c>
      <c r="N38" s="24" t="s">
        <v>86</v>
      </c>
      <c r="O38" s="13" t="s">
        <v>253</v>
      </c>
      <c r="P38" s="13" t="s">
        <v>245</v>
      </c>
      <c r="Q38" s="13" t="s">
        <v>93</v>
      </c>
    </row>
    <row r="39" spans="2:18" x14ac:dyDescent="0.35">
      <c r="B39" s="34" t="s">
        <v>94</v>
      </c>
      <c r="C39" s="24">
        <v>3.6</v>
      </c>
      <c r="D39" s="24">
        <v>5.8</v>
      </c>
      <c r="E39" s="13">
        <v>3.8</v>
      </c>
      <c r="F39" s="13">
        <v>4.3</v>
      </c>
      <c r="G39" s="13">
        <v>4.4000000000000004</v>
      </c>
      <c r="L39" s="34" t="s">
        <v>95</v>
      </c>
      <c r="M39" s="24" t="s">
        <v>68</v>
      </c>
      <c r="N39" s="24" t="s">
        <v>248</v>
      </c>
      <c r="O39" s="13" t="s">
        <v>81</v>
      </c>
      <c r="P39" s="13" t="s">
        <v>69</v>
      </c>
      <c r="Q39" s="13" t="s">
        <v>80</v>
      </c>
    </row>
    <row r="40" spans="2:18" x14ac:dyDescent="0.35">
      <c r="B40" s="34" t="s">
        <v>303</v>
      </c>
      <c r="C40" s="24">
        <v>4.7</v>
      </c>
      <c r="D40" s="24">
        <v>7.6</v>
      </c>
      <c r="E40" s="13">
        <v>6</v>
      </c>
      <c r="F40" s="13">
        <v>5.7</v>
      </c>
      <c r="G40" s="13">
        <v>6.2</v>
      </c>
      <c r="L40" s="34" t="s">
        <v>304</v>
      </c>
      <c r="M40" s="24" t="s">
        <v>254</v>
      </c>
      <c r="N40" s="24" t="s">
        <v>255</v>
      </c>
      <c r="O40" s="13">
        <v>6</v>
      </c>
      <c r="P40" s="13" t="s">
        <v>92</v>
      </c>
      <c r="Q40" s="13" t="s">
        <v>98</v>
      </c>
    </row>
    <row r="41" spans="2:18" ht="15" thickBot="1" x14ac:dyDescent="0.4">
      <c r="B41" s="37" t="s">
        <v>84</v>
      </c>
      <c r="C41" s="26">
        <v>2.7</v>
      </c>
      <c r="D41" s="26">
        <v>3.6</v>
      </c>
      <c r="E41" s="27">
        <v>2.6</v>
      </c>
      <c r="F41" s="27">
        <v>2.9</v>
      </c>
      <c r="G41" s="27">
        <v>2.6</v>
      </c>
      <c r="L41" s="37" t="s">
        <v>85</v>
      </c>
      <c r="M41" s="26" t="s">
        <v>256</v>
      </c>
      <c r="N41" s="26" t="s">
        <v>68</v>
      </c>
      <c r="O41" s="27" t="s">
        <v>99</v>
      </c>
      <c r="P41" s="27" t="s">
        <v>82</v>
      </c>
      <c r="Q41" s="27" t="s">
        <v>99</v>
      </c>
    </row>
    <row r="42" spans="2:18" ht="15" thickTop="1" x14ac:dyDescent="0.35">
      <c r="C42" s="72"/>
    </row>
    <row r="43" spans="2:18" ht="15" thickBot="1" x14ac:dyDescent="0.4">
      <c r="B43" s="5" t="s">
        <v>297</v>
      </c>
      <c r="L43" s="5" t="s">
        <v>100</v>
      </c>
    </row>
    <row r="44" spans="2:18" ht="21.5" thickTop="1" x14ac:dyDescent="0.35">
      <c r="B44" s="156" t="s">
        <v>101</v>
      </c>
      <c r="C44" s="19" t="s">
        <v>267</v>
      </c>
      <c r="D44" s="19" t="s">
        <v>267</v>
      </c>
      <c r="E44" s="145" t="s">
        <v>268</v>
      </c>
      <c r="F44" s="19" t="s">
        <v>269</v>
      </c>
      <c r="G44" s="19" t="s">
        <v>270</v>
      </c>
      <c r="H44" s="19" t="s">
        <v>271</v>
      </c>
      <c r="I44" s="1"/>
      <c r="J44" s="1"/>
      <c r="L44" s="156" t="s">
        <v>101</v>
      </c>
      <c r="M44" s="19" t="s">
        <v>272</v>
      </c>
      <c r="N44" s="19" t="s">
        <v>272</v>
      </c>
      <c r="O44" s="145" t="s">
        <v>273</v>
      </c>
      <c r="P44" s="19" t="s">
        <v>274</v>
      </c>
      <c r="Q44" s="19" t="s">
        <v>266</v>
      </c>
      <c r="R44" s="19" t="s">
        <v>266</v>
      </c>
    </row>
    <row r="45" spans="2:18" ht="15" thickBot="1" x14ac:dyDescent="0.4">
      <c r="B45" s="158"/>
      <c r="C45" s="65" t="s">
        <v>111</v>
      </c>
      <c r="D45" s="65" t="s">
        <v>112</v>
      </c>
      <c r="E45" s="159"/>
      <c r="F45" s="65" t="s">
        <v>113</v>
      </c>
      <c r="G45" s="65" t="s">
        <v>9</v>
      </c>
      <c r="H45" s="65" t="s">
        <v>8</v>
      </c>
      <c r="I45" s="1"/>
      <c r="J45" s="1"/>
      <c r="L45" s="157"/>
      <c r="M45" s="20" t="s">
        <v>114</v>
      </c>
      <c r="N45" s="20" t="s">
        <v>115</v>
      </c>
      <c r="O45" s="147"/>
      <c r="P45" s="20" t="s">
        <v>115</v>
      </c>
      <c r="Q45" s="20" t="s">
        <v>9</v>
      </c>
      <c r="R45" s="20" t="s">
        <v>8</v>
      </c>
    </row>
    <row r="46" spans="2:18" ht="15.5" thickTop="1" thickBot="1" x14ac:dyDescent="0.4">
      <c r="B46" s="38" t="s">
        <v>48</v>
      </c>
      <c r="C46" s="64">
        <f t="shared" ref="C46:F46" si="7">SUM(C47:C55)</f>
        <v>12554.963999999998</v>
      </c>
      <c r="D46" s="54">
        <f t="shared" si="7"/>
        <v>11324.556</v>
      </c>
      <c r="E46" s="64">
        <f t="shared" si="7"/>
        <v>4027.3730000000005</v>
      </c>
      <c r="F46" s="54">
        <f t="shared" si="7"/>
        <v>3966.6050000000005</v>
      </c>
      <c r="G46" s="54">
        <f>SUM(G47:G55)</f>
        <v>6060.2410000000009</v>
      </c>
      <c r="H46" s="54">
        <f>SUM(H47:H55)</f>
        <v>5065.7439999999988</v>
      </c>
      <c r="I46" s="99"/>
      <c r="J46" s="99"/>
      <c r="L46" s="30" t="s">
        <v>49</v>
      </c>
      <c r="M46" s="64" t="str">
        <f>IF(C46&lt;0,CONCATENATE("(",SUBSTITUTE(SUBSTITUTE(SUBSTITUTE(SUBSTITUTE(TEXT(C46,"#.##0"),",","*"),".",","),"*","."),"-",""),")"),IF(C46=0,"       -",SUBSTITUTE(SUBSTITUTE(SUBSTITUTE(TEXT(C46,"#.##0"),",","*"),".",","),"*",".")))</f>
        <v>12,555</v>
      </c>
      <c r="N46" s="54" t="str">
        <f t="shared" ref="N46:R46" si="8">IF(D46&lt;0,CONCATENATE("(",SUBSTITUTE(SUBSTITUTE(SUBSTITUTE(SUBSTITUTE(TEXT(D46,"#.##0"),",","*"),".",","),"*","."),"-",""),")"),IF(D46=0,"       -",SUBSTITUTE(SUBSTITUTE(SUBSTITUTE(TEXT(D46,"#.##0"),",","*"),".",","),"*",".")))</f>
        <v>11,325</v>
      </c>
      <c r="O46" s="64" t="str">
        <f t="shared" si="8"/>
        <v>4,027</v>
      </c>
      <c r="P46" s="54" t="str">
        <f t="shared" si="8"/>
        <v>3,967</v>
      </c>
      <c r="Q46" s="54" t="str">
        <f t="shared" si="8"/>
        <v>6,060</v>
      </c>
      <c r="R46" s="54" t="str">
        <f t="shared" si="8"/>
        <v>5,066</v>
      </c>
    </row>
    <row r="47" spans="2:18" ht="15" thickTop="1" x14ac:dyDescent="0.35">
      <c r="B47" s="34" t="s">
        <v>52</v>
      </c>
      <c r="C47" s="60">
        <f>C28*D$67/100</f>
        <v>1288.855</v>
      </c>
      <c r="D47" s="60">
        <f>C28*D$68/100</f>
        <v>1162.5450000000001</v>
      </c>
      <c r="E47" s="60">
        <f>D28*D$69/100</f>
        <v>763.53399999999999</v>
      </c>
      <c r="F47" s="60">
        <f>E28*D$70/100</f>
        <v>895.52799999999991</v>
      </c>
      <c r="G47" s="60">
        <f t="shared" ref="G47:G55" si="9">F28*7547/100</f>
        <v>860.35800000000006</v>
      </c>
      <c r="H47" s="60">
        <f>G28*6364/100</f>
        <v>808.22799999999984</v>
      </c>
      <c r="I47" s="60"/>
      <c r="J47" s="60"/>
      <c r="L47" s="34" t="s">
        <v>53</v>
      </c>
      <c r="M47" s="60" t="str">
        <f t="shared" ref="M47:M55" si="10">IF(C47&lt;0,CONCATENATE("(",SUBSTITUTE(SUBSTITUTE(SUBSTITUTE(SUBSTITUTE(TEXT(C47,"#.##0"),",","*"),".",","),"*","."),"-",""),")"),IF(C47=0,"       -",SUBSTITUTE(SUBSTITUTE(SUBSTITUTE(TEXT(C47,"#.##0"),",","*"),".",","),"*",".")))</f>
        <v>1,289</v>
      </c>
      <c r="N47" s="48" t="str">
        <f t="shared" ref="N47:N56" si="11">IF(D47&lt;0,CONCATENATE("(",SUBSTITUTE(SUBSTITUTE(SUBSTITUTE(SUBSTITUTE(TEXT(D47,"#.##0"),",","*"),".",","),"*","."),"-",""),")"),IF(D47=0,"       -",SUBSTITUTE(SUBSTITUTE(SUBSTITUTE(TEXT(D47,"#.##0"),",","*"),".",","),"*",".")))</f>
        <v>1,163</v>
      </c>
      <c r="O47" s="24" t="str">
        <f t="shared" ref="O47:O56" si="12">IF(E47&lt;0,CONCATENATE("(",SUBSTITUTE(SUBSTITUTE(SUBSTITUTE(SUBSTITUTE(TEXT(E47,"#.##0"),",","*"),".",","),"*","."),"-",""),")"),IF(E47=0,"       -",SUBSTITUTE(SUBSTITUTE(SUBSTITUTE(TEXT(E47,"#.##0"),",","*"),".",","),"*",".")))</f>
        <v>764</v>
      </c>
      <c r="P47" s="13" t="str">
        <f t="shared" ref="P47:P56" si="13">IF(F47&lt;0,CONCATENATE("(",SUBSTITUTE(SUBSTITUTE(SUBSTITUTE(SUBSTITUTE(TEXT(F47,"#.##0"),",","*"),".",","),"*","."),"-",""),")"),IF(F47=0,"       -",SUBSTITUTE(SUBSTITUTE(SUBSTITUTE(TEXT(F47,"#.##0"),",","*"),".",","),"*",".")))</f>
        <v>896</v>
      </c>
      <c r="Q47" s="13" t="str">
        <f t="shared" ref="Q47:Q56" si="14">IF(G47&lt;0,CONCATENATE("(",SUBSTITUTE(SUBSTITUTE(SUBSTITUTE(SUBSTITUTE(TEXT(G47,"#.##0"),",","*"),".",","),"*","."),"-",""),")"),IF(G47=0,"       -",SUBSTITUTE(SUBSTITUTE(SUBSTITUTE(TEXT(G47,"#.##0"),",","*"),".",","),"*",".")))</f>
        <v>860</v>
      </c>
      <c r="R47" s="13" t="str">
        <f t="shared" ref="R47:R56" si="15">IF(H47&lt;0,CONCATENATE("(",SUBSTITUTE(SUBSTITUTE(SUBSTITUTE(SUBSTITUTE(TEXT(H47,"#.##0"),",","*"),".",","),"*","."),"-",""),")"),IF(H47=0,"       -",SUBSTITUTE(SUBSTITUTE(SUBSTITUTE(TEXT(H47,"#.##0"),",","*"),".",","),"*",".")))</f>
        <v>808</v>
      </c>
    </row>
    <row r="48" spans="2:18" x14ac:dyDescent="0.35">
      <c r="B48" s="34" t="s">
        <v>55</v>
      </c>
      <c r="C48" s="60">
        <f t="shared" ref="C48:C55" si="16">C29*D$67/100</f>
        <v>3669.4459999999999</v>
      </c>
      <c r="D48" s="60">
        <f>C29*D$68/100</f>
        <v>3309.8339999999998</v>
      </c>
      <c r="E48" s="60">
        <f t="shared" ref="E48:E60" si="17">D29*D$69/100</f>
        <v>833.43499999999995</v>
      </c>
      <c r="F48" s="60">
        <f t="shared" ref="F48:F55" si="18">E29*D$70/100</f>
        <v>1654.78</v>
      </c>
      <c r="G48" s="60">
        <f t="shared" si="9"/>
        <v>1735.81</v>
      </c>
      <c r="H48" s="60">
        <f>G29*6364/100</f>
        <v>1616.4559999999997</v>
      </c>
      <c r="I48" s="60"/>
      <c r="J48" s="60"/>
      <c r="L48" s="34" t="s">
        <v>56</v>
      </c>
      <c r="M48" s="60" t="str">
        <f t="shared" si="10"/>
        <v>3,669</v>
      </c>
      <c r="N48" s="48" t="str">
        <f t="shared" si="11"/>
        <v>3,310</v>
      </c>
      <c r="O48" s="60" t="str">
        <f t="shared" si="12"/>
        <v>833</v>
      </c>
      <c r="P48" s="48" t="str">
        <f t="shared" si="13"/>
        <v>1,655</v>
      </c>
      <c r="Q48" s="48" t="str">
        <f t="shared" si="14"/>
        <v>1,736</v>
      </c>
      <c r="R48" s="48" t="str">
        <f t="shared" si="15"/>
        <v>1,616</v>
      </c>
    </row>
    <row r="49" spans="2:18" x14ac:dyDescent="0.35">
      <c r="B49" s="34" t="s">
        <v>58</v>
      </c>
      <c r="C49" s="60">
        <f t="shared" si="16"/>
        <v>3745.261</v>
      </c>
      <c r="D49" s="60">
        <f>C30*D$68/100</f>
        <v>3378.2189999999996</v>
      </c>
      <c r="E49" s="60">
        <f t="shared" si="17"/>
        <v>1043.1379999999999</v>
      </c>
      <c r="F49" s="60">
        <f t="shared" si="18"/>
        <v>647.31100000000004</v>
      </c>
      <c r="G49" s="60">
        <f t="shared" si="9"/>
        <v>1637.6989999999998</v>
      </c>
      <c r="H49" s="60">
        <f>G30*6364/100</f>
        <v>1196.432</v>
      </c>
      <c r="I49" s="60"/>
      <c r="J49" s="60"/>
      <c r="K49" s="60"/>
      <c r="L49" s="34" t="s">
        <v>116</v>
      </c>
      <c r="M49" s="60" t="str">
        <f t="shared" si="10"/>
        <v>3,745</v>
      </c>
      <c r="N49" s="48" t="str">
        <f t="shared" si="11"/>
        <v>3,378</v>
      </c>
      <c r="O49" s="60" t="str">
        <f t="shared" si="12"/>
        <v>1,043</v>
      </c>
      <c r="P49" s="13" t="str">
        <f t="shared" si="13"/>
        <v>647</v>
      </c>
      <c r="Q49" s="48" t="str">
        <f t="shared" si="14"/>
        <v>1,638</v>
      </c>
      <c r="R49" s="48" t="str">
        <f t="shared" si="15"/>
        <v>1,196</v>
      </c>
    </row>
    <row r="50" spans="2:18" x14ac:dyDescent="0.35">
      <c r="B50" s="34" t="s">
        <v>61</v>
      </c>
      <c r="C50" s="60">
        <f t="shared" si="16"/>
        <v>288.09699999999998</v>
      </c>
      <c r="D50" s="60">
        <f t="shared" ref="D50:D60" si="19">C31*D$68/100</f>
        <v>259.863</v>
      </c>
      <c r="E50" s="60">
        <f t="shared" si="17"/>
        <v>91.408999999999992</v>
      </c>
      <c r="F50" s="60">
        <f t="shared" si="18"/>
        <v>73.004999999999995</v>
      </c>
      <c r="G50" s="60">
        <f t="shared" si="9"/>
        <v>128.29900000000001</v>
      </c>
      <c r="H50" s="60">
        <f t="shared" ref="H50:H60" si="20">G31*6364/100</f>
        <v>82.732000000000014</v>
      </c>
      <c r="I50" s="60"/>
      <c r="J50" s="60"/>
      <c r="K50" s="60"/>
      <c r="L50" s="34" t="s">
        <v>117</v>
      </c>
      <c r="M50" s="24" t="str">
        <f t="shared" si="10"/>
        <v>288</v>
      </c>
      <c r="N50" s="13" t="str">
        <f t="shared" si="11"/>
        <v>260</v>
      </c>
      <c r="O50" s="24" t="str">
        <f t="shared" si="12"/>
        <v>91</v>
      </c>
      <c r="P50" s="13" t="str">
        <f t="shared" si="13"/>
        <v>73</v>
      </c>
      <c r="Q50" s="13" t="str">
        <f t="shared" si="14"/>
        <v>128</v>
      </c>
      <c r="R50" s="13" t="str">
        <f t="shared" si="15"/>
        <v>83</v>
      </c>
    </row>
    <row r="51" spans="2:18" x14ac:dyDescent="0.35">
      <c r="B51" s="34" t="s">
        <v>66</v>
      </c>
      <c r="C51" s="60">
        <f t="shared" si="16"/>
        <v>470.05300000000005</v>
      </c>
      <c r="D51" s="60">
        <f t="shared" si="19"/>
        <v>423.98700000000002</v>
      </c>
      <c r="E51" s="60">
        <f t="shared" si="17"/>
        <v>284.98099999999999</v>
      </c>
      <c r="F51" s="60">
        <f t="shared" si="18"/>
        <v>184.946</v>
      </c>
      <c r="G51" s="60">
        <f t="shared" si="9"/>
        <v>286.786</v>
      </c>
      <c r="H51" s="60">
        <f t="shared" si="20"/>
        <v>292.74399999999997</v>
      </c>
      <c r="I51" s="60"/>
      <c r="J51" s="60"/>
      <c r="K51" s="60"/>
      <c r="L51" s="34" t="s">
        <v>118</v>
      </c>
      <c r="M51" s="24" t="str">
        <f t="shared" si="10"/>
        <v>470</v>
      </c>
      <c r="N51" s="13" t="str">
        <f t="shared" si="11"/>
        <v>424</v>
      </c>
      <c r="O51" s="24" t="str">
        <f t="shared" si="12"/>
        <v>285</v>
      </c>
      <c r="P51" s="13" t="str">
        <f t="shared" si="13"/>
        <v>185</v>
      </c>
      <c r="Q51" s="13" t="str">
        <f t="shared" si="14"/>
        <v>287</v>
      </c>
      <c r="R51" s="13" t="str">
        <f t="shared" si="15"/>
        <v>293</v>
      </c>
    </row>
    <row r="52" spans="2:18" x14ac:dyDescent="0.35">
      <c r="B52" s="34" t="s">
        <v>71</v>
      </c>
      <c r="C52" s="60">
        <f t="shared" si="16"/>
        <v>106.14099999999999</v>
      </c>
      <c r="D52" s="60">
        <f t="shared" si="19"/>
        <v>95.73899999999999</v>
      </c>
      <c r="E52" s="60">
        <f t="shared" si="17"/>
        <v>37.638999999999996</v>
      </c>
      <c r="F52" s="60">
        <f t="shared" si="18"/>
        <v>24.335000000000001</v>
      </c>
      <c r="G52" s="60">
        <f t="shared" si="9"/>
        <v>52.828999999999994</v>
      </c>
      <c r="H52" s="60">
        <f>G33*6364/100</f>
        <v>50.912000000000006</v>
      </c>
      <c r="I52" s="60"/>
      <c r="J52" s="60"/>
      <c r="K52" s="60"/>
      <c r="L52" s="34" t="s">
        <v>72</v>
      </c>
      <c r="M52" s="24" t="str">
        <f t="shared" si="10"/>
        <v>106</v>
      </c>
      <c r="N52" s="13" t="str">
        <f t="shared" si="11"/>
        <v>96</v>
      </c>
      <c r="O52" s="24" t="str">
        <f t="shared" si="12"/>
        <v>38</v>
      </c>
      <c r="P52" s="13" t="str">
        <f t="shared" si="13"/>
        <v>24</v>
      </c>
      <c r="Q52" s="13" t="str">
        <f t="shared" si="14"/>
        <v>53</v>
      </c>
      <c r="R52" s="13" t="str">
        <f t="shared" si="15"/>
        <v>51</v>
      </c>
    </row>
    <row r="53" spans="2:18" x14ac:dyDescent="0.35">
      <c r="B53" s="34" t="s">
        <v>74</v>
      </c>
      <c r="C53" s="60">
        <f t="shared" si="16"/>
        <v>1364.67</v>
      </c>
      <c r="D53" s="60">
        <f t="shared" si="19"/>
        <v>1230.93</v>
      </c>
      <c r="E53" s="60">
        <f t="shared" si="17"/>
        <v>204.32599999999999</v>
      </c>
      <c r="F53" s="60">
        <f t="shared" si="18"/>
        <v>116.80799999999999</v>
      </c>
      <c r="G53" s="60">
        <f t="shared" si="9"/>
        <v>505.649</v>
      </c>
      <c r="H53" s="60">
        <f t="shared" si="20"/>
        <v>305.47199999999998</v>
      </c>
      <c r="I53" s="60"/>
      <c r="J53" s="60"/>
      <c r="K53" s="60"/>
      <c r="L53" s="34" t="s">
        <v>75</v>
      </c>
      <c r="M53" s="60" t="str">
        <f t="shared" si="10"/>
        <v>1,365</v>
      </c>
      <c r="N53" s="48" t="str">
        <f t="shared" si="11"/>
        <v>1,231</v>
      </c>
      <c r="O53" s="24" t="str">
        <f t="shared" si="12"/>
        <v>204</v>
      </c>
      <c r="P53" s="13" t="str">
        <f t="shared" si="13"/>
        <v>117</v>
      </c>
      <c r="Q53" s="13" t="str">
        <f t="shared" si="14"/>
        <v>506</v>
      </c>
      <c r="R53" s="13" t="str">
        <f t="shared" si="15"/>
        <v>305</v>
      </c>
    </row>
    <row r="54" spans="2:18" x14ac:dyDescent="0.35">
      <c r="B54" s="34" t="s">
        <v>78</v>
      </c>
      <c r="C54" s="60">
        <f t="shared" si="16"/>
        <v>742.98700000000008</v>
      </c>
      <c r="D54" s="60">
        <f t="shared" si="19"/>
        <v>670.173</v>
      </c>
      <c r="E54" s="60">
        <f t="shared" si="17"/>
        <v>258.096</v>
      </c>
      <c r="F54" s="60">
        <f t="shared" si="18"/>
        <v>155.74400000000003</v>
      </c>
      <c r="G54" s="60">
        <f t="shared" si="9"/>
        <v>347.16199999999998</v>
      </c>
      <c r="H54" s="60">
        <f t="shared" si="20"/>
        <v>260.92399999999998</v>
      </c>
      <c r="I54" s="60"/>
      <c r="J54" s="60"/>
      <c r="L54" s="34" t="s">
        <v>119</v>
      </c>
      <c r="M54" s="24" t="str">
        <f t="shared" si="10"/>
        <v>743</v>
      </c>
      <c r="N54" s="13" t="str">
        <f t="shared" si="11"/>
        <v>670</v>
      </c>
      <c r="O54" s="24" t="str">
        <f t="shared" si="12"/>
        <v>258</v>
      </c>
      <c r="P54" s="13" t="str">
        <f t="shared" si="13"/>
        <v>156</v>
      </c>
      <c r="Q54" s="13" t="str">
        <f t="shared" si="14"/>
        <v>347</v>
      </c>
      <c r="R54" s="13" t="str">
        <f t="shared" si="15"/>
        <v>261</v>
      </c>
    </row>
    <row r="55" spans="2:18" ht="15" thickBot="1" x14ac:dyDescent="0.4">
      <c r="B55" s="37" t="s">
        <v>84</v>
      </c>
      <c r="C55" s="60">
        <f t="shared" si="16"/>
        <v>879.45399999999995</v>
      </c>
      <c r="D55" s="60">
        <f t="shared" si="19"/>
        <v>793.26599999999996</v>
      </c>
      <c r="E55" s="60">
        <f t="shared" si="17"/>
        <v>510.815</v>
      </c>
      <c r="F55" s="60">
        <f t="shared" si="18"/>
        <v>214.14800000000002</v>
      </c>
      <c r="G55" s="60">
        <f t="shared" si="9"/>
        <v>505.649</v>
      </c>
      <c r="H55" s="60">
        <f t="shared" si="20"/>
        <v>451.84399999999994</v>
      </c>
      <c r="I55" s="60"/>
      <c r="J55" s="60"/>
      <c r="L55" s="37" t="s">
        <v>85</v>
      </c>
      <c r="M55" s="26" t="str">
        <f t="shared" si="10"/>
        <v>879</v>
      </c>
      <c r="N55" s="27" t="str">
        <f t="shared" si="11"/>
        <v>793</v>
      </c>
      <c r="O55" s="26" t="str">
        <f t="shared" si="12"/>
        <v>511</v>
      </c>
      <c r="P55" s="27" t="str">
        <f t="shared" si="13"/>
        <v>214</v>
      </c>
      <c r="Q55" s="27" t="str">
        <f t="shared" si="14"/>
        <v>506</v>
      </c>
      <c r="R55" s="27" t="str">
        <f t="shared" si="15"/>
        <v>452</v>
      </c>
    </row>
    <row r="56" spans="2:18" ht="15.5" thickTop="1" thickBot="1" x14ac:dyDescent="0.4">
      <c r="B56" s="38" t="s">
        <v>88</v>
      </c>
      <c r="C56" s="91">
        <f t="shared" ref="C56:H56" si="21">SUM(C57:C60)</f>
        <v>2608.0360000000001</v>
      </c>
      <c r="D56" s="92">
        <f t="shared" si="21"/>
        <v>2352.444</v>
      </c>
      <c r="E56" s="91">
        <f t="shared" si="21"/>
        <v>1349.627</v>
      </c>
      <c r="F56" s="91">
        <f t="shared" si="21"/>
        <v>881.89499999999998</v>
      </c>
      <c r="G56" s="91">
        <f>SUM(G57:G60)</f>
        <v>1479.212</v>
      </c>
      <c r="H56" s="91">
        <f t="shared" si="21"/>
        <v>1298.2560000000001</v>
      </c>
      <c r="I56" s="100"/>
      <c r="J56" s="100"/>
      <c r="L56" s="38" t="s">
        <v>89</v>
      </c>
      <c r="M56" s="64" t="str">
        <f>IF(C56&lt;0,CONCATENATE("(",SUBSTITUTE(SUBSTITUTE(SUBSTITUTE(SUBSTITUTE(TEXT(C56,"#.##0"),",","*"),".",","),"*","."),"-",""),")"),IF(C56=0,"       -",SUBSTITUTE(SUBSTITUTE(SUBSTITUTE(TEXT(C56,"#.##0"),",","*"),".",","),"*",".")))</f>
        <v>2,608</v>
      </c>
      <c r="N56" s="54" t="str">
        <f t="shared" si="11"/>
        <v>2,352</v>
      </c>
      <c r="O56" s="64" t="str">
        <f t="shared" si="12"/>
        <v>1,350</v>
      </c>
      <c r="P56" s="18" t="str">
        <f t="shared" si="13"/>
        <v>882</v>
      </c>
      <c r="Q56" s="54" t="str">
        <f t="shared" si="14"/>
        <v>1,479</v>
      </c>
      <c r="R56" s="54" t="str">
        <f t="shared" si="15"/>
        <v>1,298</v>
      </c>
    </row>
    <row r="57" spans="2:18" ht="15" thickTop="1" x14ac:dyDescent="0.35">
      <c r="B57" s="34" t="s">
        <v>71</v>
      </c>
      <c r="C57" s="73">
        <f>C38*D$67/100</f>
        <v>940.10600000000011</v>
      </c>
      <c r="D57" s="90">
        <f t="shared" si="19"/>
        <v>847.97400000000005</v>
      </c>
      <c r="E57" s="73">
        <f t="shared" si="17"/>
        <v>435.53699999999998</v>
      </c>
      <c r="F57" s="90">
        <f t="shared" ref="F57:F60" si="22">E38*E$70/100</f>
        <v>290.78699999999998</v>
      </c>
      <c r="G57" s="90">
        <f>F38*7547/100</f>
        <v>505.649</v>
      </c>
      <c r="H57" s="90">
        <f t="shared" si="20"/>
        <v>458.20800000000003</v>
      </c>
      <c r="I57" s="90"/>
      <c r="J57" s="90"/>
      <c r="L57" s="34" t="s">
        <v>72</v>
      </c>
      <c r="M57" s="24" t="str">
        <f t="shared" ref="M57:M61" si="23">IF(C57&lt;0,CONCATENATE("(",SUBSTITUTE(SUBSTITUTE(SUBSTITUTE(SUBSTITUTE(TEXT(C57,"#.##0"),",","*"),".",","),"*","."),"-",""),")"),IF(C57=0,"       -",SUBSTITUTE(SUBSTITUTE(SUBSTITUTE(TEXT(C57,"#.##0"),",","*"),".",","),"*",".")))</f>
        <v>940</v>
      </c>
      <c r="N57" s="13" t="str">
        <f t="shared" ref="N57:N61" si="24">IF(D57&lt;0,CONCATENATE("(",SUBSTITUTE(SUBSTITUTE(SUBSTITUTE(SUBSTITUTE(TEXT(D57,"#.##0"),",","*"),".",","),"*","."),"-",""),")"),IF(D57=0,"       -",SUBSTITUTE(SUBSTITUTE(SUBSTITUTE(TEXT(D57,"#.##0"),",","*"),".",","),"*",".")))</f>
        <v>848</v>
      </c>
      <c r="O57" s="24" t="str">
        <f t="shared" ref="O57:O61" si="25">IF(E57&lt;0,CONCATENATE("(",SUBSTITUTE(SUBSTITUTE(SUBSTITUTE(SUBSTITUTE(TEXT(E57,"#.##0"),",","*"),".",","),"*","."),"-",""),")"),IF(E57=0,"       -",SUBSTITUTE(SUBSTITUTE(SUBSTITUTE(TEXT(E57,"#.##0"),",","*"),".",","),"*",".")))</f>
        <v>436</v>
      </c>
      <c r="P57" s="13" t="str">
        <f t="shared" ref="P57:P61" si="26">IF(F57&lt;0,CONCATENATE("(",SUBSTITUTE(SUBSTITUTE(SUBSTITUTE(SUBSTITUTE(TEXT(F57,"#.##0"),",","*"),".",","),"*","."),"-",""),")"),IF(F57=0,"       -",SUBSTITUTE(SUBSTITUTE(SUBSTITUTE(TEXT(F57,"#.##0"),",","*"),".",","),"*",".")))</f>
        <v>291</v>
      </c>
      <c r="Q57" s="13" t="str">
        <f t="shared" ref="Q57:Q61" si="27">IF(G57&lt;0,CONCATENATE("(",SUBSTITUTE(SUBSTITUTE(SUBSTITUTE(SUBSTITUTE(TEXT(G57,"#.##0"),",","*"),".",","),"*","."),"-",""),")"),IF(G57=0,"       -",SUBSTITUTE(SUBSTITUTE(SUBSTITUTE(TEXT(G57,"#.##0"),",","*"),".",","),"*",".")))</f>
        <v>506</v>
      </c>
      <c r="R57" s="13" t="str">
        <f t="shared" ref="R57:R61" si="28">IF(H57&lt;0,CONCATENATE("(",SUBSTITUTE(SUBSTITUTE(SUBSTITUTE(SUBSTITUTE(TEXT(H57,"#.##0"),",","*"),".",","),"*","."),"-",""),")"),IF(H57=0,"       -",SUBSTITUTE(SUBSTITUTE(SUBSTITUTE(TEXT(H57,"#.##0"),",","*"),".",","),"*",".")))</f>
        <v>458</v>
      </c>
    </row>
    <row r="58" spans="2:18" x14ac:dyDescent="0.35">
      <c r="B58" s="34" t="s">
        <v>94</v>
      </c>
      <c r="C58" s="73">
        <f t="shared" ref="C58:C60" si="29">C39*D$67/100</f>
        <v>545.86800000000005</v>
      </c>
      <c r="D58" s="90">
        <f t="shared" si="19"/>
        <v>492.37200000000007</v>
      </c>
      <c r="E58" s="73">
        <f t="shared" si="17"/>
        <v>311.86599999999999</v>
      </c>
      <c r="F58" s="90">
        <f t="shared" si="22"/>
        <v>181.14599999999999</v>
      </c>
      <c r="G58" s="90">
        <f>F39*7547/100</f>
        <v>324.52099999999996</v>
      </c>
      <c r="H58" s="90">
        <f t="shared" si="20"/>
        <v>280.01600000000002</v>
      </c>
      <c r="I58" s="90"/>
      <c r="J58" s="90"/>
      <c r="L58" s="34" t="s">
        <v>120</v>
      </c>
      <c r="M58" s="24" t="str">
        <f t="shared" si="23"/>
        <v>546</v>
      </c>
      <c r="N58" s="13" t="str">
        <f t="shared" si="24"/>
        <v>492</v>
      </c>
      <c r="O58" s="24" t="str">
        <f t="shared" si="25"/>
        <v>312</v>
      </c>
      <c r="P58" s="13" t="str">
        <f t="shared" si="26"/>
        <v>181</v>
      </c>
      <c r="Q58" s="13" t="str">
        <f t="shared" si="27"/>
        <v>325</v>
      </c>
      <c r="R58" s="13" t="str">
        <f t="shared" si="28"/>
        <v>280</v>
      </c>
    </row>
    <row r="59" spans="2:18" x14ac:dyDescent="0.35">
      <c r="B59" s="34" t="s">
        <v>96</v>
      </c>
      <c r="C59" s="73">
        <f t="shared" si="29"/>
        <v>712.66100000000006</v>
      </c>
      <c r="D59" s="90">
        <f t="shared" si="19"/>
        <v>642.81899999999996</v>
      </c>
      <c r="E59" s="73">
        <f t="shared" si="17"/>
        <v>408.65199999999999</v>
      </c>
      <c r="F59" s="90">
        <f t="shared" si="22"/>
        <v>286.02</v>
      </c>
      <c r="G59" s="90">
        <f>F40*7547/100</f>
        <v>430.17900000000003</v>
      </c>
      <c r="H59" s="90">
        <f t="shared" si="20"/>
        <v>394.56800000000004</v>
      </c>
      <c r="I59" s="90"/>
      <c r="J59" s="90"/>
      <c r="L59" s="34" t="s">
        <v>121</v>
      </c>
      <c r="M59" s="24" t="str">
        <f t="shared" si="23"/>
        <v>713</v>
      </c>
      <c r="N59" s="13" t="str">
        <f t="shared" si="24"/>
        <v>643</v>
      </c>
      <c r="O59" s="24" t="str">
        <f t="shared" si="25"/>
        <v>409</v>
      </c>
      <c r="P59" s="13" t="str">
        <f t="shared" si="26"/>
        <v>286</v>
      </c>
      <c r="Q59" s="13" t="str">
        <f t="shared" si="27"/>
        <v>430</v>
      </c>
      <c r="R59" s="13" t="str">
        <f t="shared" si="28"/>
        <v>395</v>
      </c>
    </row>
    <row r="60" spans="2:18" ht="15" thickBot="1" x14ac:dyDescent="0.4">
      <c r="B60" s="37" t="s">
        <v>84</v>
      </c>
      <c r="C60" s="74">
        <f t="shared" si="29"/>
        <v>409.40100000000007</v>
      </c>
      <c r="D60" s="75">
        <f t="shared" si="19"/>
        <v>369.279</v>
      </c>
      <c r="E60" s="74">
        <f t="shared" si="17"/>
        <v>193.572</v>
      </c>
      <c r="F60" s="75">
        <f t="shared" si="22"/>
        <v>123.94200000000001</v>
      </c>
      <c r="G60" s="75">
        <f>F41*7547/100</f>
        <v>218.863</v>
      </c>
      <c r="H60" s="75">
        <f t="shared" si="20"/>
        <v>165.46400000000003</v>
      </c>
      <c r="I60" s="90"/>
      <c r="J60" s="90"/>
      <c r="L60" s="37" t="s">
        <v>85</v>
      </c>
      <c r="M60" s="26" t="str">
        <f t="shared" si="23"/>
        <v>409</v>
      </c>
      <c r="N60" s="27" t="str">
        <f t="shared" si="24"/>
        <v>369</v>
      </c>
      <c r="O60" s="26" t="str">
        <f t="shared" si="25"/>
        <v>194</v>
      </c>
      <c r="P60" s="27" t="str">
        <f t="shared" si="26"/>
        <v>124</v>
      </c>
      <c r="Q60" s="26" t="str">
        <f t="shared" si="27"/>
        <v>219</v>
      </c>
      <c r="R60" s="26" t="str">
        <f t="shared" si="28"/>
        <v>165</v>
      </c>
    </row>
    <row r="61" spans="2:18" ht="15.5" thickTop="1" thickBot="1" x14ac:dyDescent="0.4">
      <c r="B61" s="38" t="s">
        <v>122</v>
      </c>
      <c r="C61" s="64">
        <f t="shared" ref="C61:H61" si="30">C56+C46</f>
        <v>15162.999999999998</v>
      </c>
      <c r="D61" s="54">
        <f t="shared" si="30"/>
        <v>13677</v>
      </c>
      <c r="E61" s="64">
        <f t="shared" si="30"/>
        <v>5377</v>
      </c>
      <c r="F61" s="54">
        <f>F56+F46</f>
        <v>4848.5</v>
      </c>
      <c r="G61" s="54">
        <f t="shared" si="30"/>
        <v>7539.4530000000013</v>
      </c>
      <c r="H61" s="54">
        <f t="shared" si="30"/>
        <v>6363.9999999999991</v>
      </c>
      <c r="I61" s="99"/>
      <c r="J61" s="99"/>
      <c r="L61" s="38" t="s">
        <v>122</v>
      </c>
      <c r="M61" s="64" t="str">
        <f t="shared" si="23"/>
        <v>15,163</v>
      </c>
      <c r="N61" s="54" t="str">
        <f t="shared" si="24"/>
        <v>13,677</v>
      </c>
      <c r="O61" s="64" t="str">
        <f t="shared" si="25"/>
        <v>5,377</v>
      </c>
      <c r="P61" s="54" t="str">
        <f t="shared" si="26"/>
        <v>4,849</v>
      </c>
      <c r="Q61" s="54" t="str">
        <f t="shared" si="27"/>
        <v>7,539</v>
      </c>
      <c r="R61" s="54" t="str">
        <f t="shared" si="28"/>
        <v>6,364</v>
      </c>
    </row>
    <row r="62" spans="2:18" ht="15" thickTop="1" x14ac:dyDescent="0.35"/>
    <row r="65" spans="2:19" ht="15" thickBot="1" x14ac:dyDescent="0.4">
      <c r="B65" s="5" t="s">
        <v>192</v>
      </c>
      <c r="C65" s="5"/>
      <c r="D65" s="5"/>
      <c r="E65" s="5"/>
      <c r="F65" s="5"/>
      <c r="G65" s="5"/>
      <c r="H65" s="5"/>
      <c r="I65" s="5"/>
      <c r="J65" s="5"/>
      <c r="K65" s="5"/>
      <c r="L65" s="5" t="s">
        <v>193</v>
      </c>
    </row>
    <row r="66" spans="2:19" ht="24" thickTop="1" thickBot="1" x14ac:dyDescent="0.4">
      <c r="B66" s="10" t="s">
        <v>123</v>
      </c>
      <c r="C66" s="11" t="s">
        <v>258</v>
      </c>
      <c r="D66" s="11" t="s">
        <v>259</v>
      </c>
      <c r="E66" s="11" t="s">
        <v>262</v>
      </c>
      <c r="F66" s="11" t="s">
        <v>261</v>
      </c>
      <c r="G66" s="11" t="s">
        <v>260</v>
      </c>
      <c r="L66" s="10" t="s">
        <v>123</v>
      </c>
      <c r="M66" s="11" t="s">
        <v>275</v>
      </c>
      <c r="N66" s="11" t="s">
        <v>276</v>
      </c>
      <c r="O66" s="11" t="s">
        <v>277</v>
      </c>
      <c r="P66" s="11" t="s">
        <v>261</v>
      </c>
      <c r="Q66" s="11" t="s">
        <v>260</v>
      </c>
    </row>
    <row r="67" spans="2:19" x14ac:dyDescent="0.35">
      <c r="B67" s="22" t="s">
        <v>39</v>
      </c>
      <c r="C67" s="48">
        <v>12580</v>
      </c>
      <c r="D67" s="48">
        <v>15163</v>
      </c>
      <c r="E67" s="48">
        <v>15357</v>
      </c>
      <c r="F67" s="66">
        <f>E67/D67-1</f>
        <v>1.2794301919145212E-2</v>
      </c>
      <c r="G67" s="66">
        <f>E67/C67-1</f>
        <v>0.22074721780604123</v>
      </c>
      <c r="L67" s="22" t="s">
        <v>40</v>
      </c>
      <c r="M67" s="48" t="str">
        <f>IF(C67&lt;0,CONCATENATE("(",SUBSTITUTE(SUBSTITUTE(SUBSTITUTE(SUBSTITUTE(TEXT(C67,"#.##0"),",","*"),".",","),"*","."),"-",""),")"),IF(C67=0,"       -",SUBSTITUTE(SUBSTITUTE(SUBSTITUTE(TEXT(C67,"#.##0"),",","*"),".",","),"*",".")))</f>
        <v>12,580</v>
      </c>
      <c r="N67" s="48" t="str">
        <f>IF(D67&lt;0,CONCATENATE("(",SUBSTITUTE(SUBSTITUTE(SUBSTITUTE(SUBSTITUTE(TEXT(D67,"#.##0"),",","*"),".",","),"*","."),"-",""),")"),IF(D67=0,"       -",SUBSTITUTE(SUBSTITUTE(SUBSTITUTE(TEXT(D67,"#.##0"),",","*"),".",","),"*",".")))</f>
        <v>15,163</v>
      </c>
      <c r="O67" s="48" t="str">
        <f>IF(E67&lt;0,CONCATENATE("(",SUBSTITUTE(SUBSTITUTE(SUBSTITUTE(SUBSTITUTE(TEXT(E67,"#.##0"),",","*"),".",","),"*","."),"-",""),")"),IF(E67=0,"       -",SUBSTITUTE(SUBSTITUTE(SUBSTITUTE(TEXT(E67,"#.##0"),",","*"),".",","),"*",".")))</f>
        <v>15,357</v>
      </c>
      <c r="P67" s="66" t="str">
        <f t="shared" ref="P67:Q69" si="31">SUBSTITUTE(TEXT(F67,"0,0%"),",",".")</f>
        <v>1.3%</v>
      </c>
      <c r="Q67" s="66" t="str">
        <f t="shared" si="31"/>
        <v>22.1%</v>
      </c>
    </row>
    <row r="68" spans="2:19" x14ac:dyDescent="0.35">
      <c r="B68" s="23" t="s">
        <v>41</v>
      </c>
      <c r="C68" s="48">
        <v>10191</v>
      </c>
      <c r="D68" s="48">
        <v>13677</v>
      </c>
      <c r="E68" s="48">
        <v>14161</v>
      </c>
      <c r="F68" s="66">
        <f>E68/D68-1</f>
        <v>3.5387877458507022E-2</v>
      </c>
      <c r="G68" s="66">
        <f>E68/C68-1</f>
        <v>0.38955941517024817</v>
      </c>
      <c r="L68" s="23" t="s">
        <v>312</v>
      </c>
      <c r="M68" s="48" t="str">
        <f>IF(C68&lt;0,CONCATENATE("(",SUBSTITUTE(SUBSTITUTE(SUBSTITUTE(SUBSTITUTE(TEXT(C68,"#.##0"),",","*"),".",","),"*","."),"-",""),")"),IF(C68=0,"       -",SUBSTITUTE(SUBSTITUTE(SUBSTITUTE(TEXT(C68,"#.##0"),",","*"),".",","),"*",".")))</f>
        <v>10,191</v>
      </c>
      <c r="N68" s="48" t="str">
        <f t="shared" ref="M68:N71" si="32">IF(D68&lt;0,CONCATENATE("(",SUBSTITUTE(SUBSTITUTE(SUBSTITUTE(SUBSTITUTE(TEXT(D68,"#.##0"),",","*"),".",","),"*","."),"-",""),")"),IF(D68=0,"       -",SUBSTITUTE(SUBSTITUTE(SUBSTITUTE(TEXT(D68,"#.##0"),",","*"),".",","),"*",".")))</f>
        <v>13,677</v>
      </c>
      <c r="O68" s="48" t="str">
        <f t="shared" ref="O68:O71" si="33">IF(E68&lt;0,CONCATENATE("(",SUBSTITUTE(SUBSTITUTE(SUBSTITUTE(SUBSTITUTE(TEXT(E68,"#.##0"),",","*"),".",","),"*","."),"-",""),")"),IF(E68=0,"       -",SUBSTITUTE(SUBSTITUTE(SUBSTITUTE(TEXT(E68,"#.##0"),",","*"),".",","),"*",".")))</f>
        <v>14,161</v>
      </c>
      <c r="P68" s="66" t="str">
        <f t="shared" si="31"/>
        <v>3.5%</v>
      </c>
      <c r="Q68" s="66" t="str">
        <f t="shared" si="31"/>
        <v>39.0%</v>
      </c>
    </row>
    <row r="69" spans="2:19" x14ac:dyDescent="0.35">
      <c r="B69" s="23" t="s">
        <v>265</v>
      </c>
      <c r="C69" s="48">
        <v>4283</v>
      </c>
      <c r="D69" s="48">
        <v>5377</v>
      </c>
      <c r="E69" s="48">
        <v>5128</v>
      </c>
      <c r="F69" s="66">
        <f>E69/D69-1</f>
        <v>-4.6308350381253471E-2</v>
      </c>
      <c r="G69" s="66">
        <f>E69/C69-1</f>
        <v>0.19729161802474904</v>
      </c>
      <c r="L69" s="23" t="s">
        <v>142</v>
      </c>
      <c r="M69" s="48" t="str">
        <f t="shared" si="32"/>
        <v>4,283</v>
      </c>
      <c r="N69" s="48" t="str">
        <f t="shared" si="32"/>
        <v>5,377</v>
      </c>
      <c r="O69" s="48" t="str">
        <f t="shared" si="33"/>
        <v>5,128</v>
      </c>
      <c r="P69" s="66" t="str">
        <f t="shared" si="31"/>
        <v>-4.6%</v>
      </c>
      <c r="Q69" s="66" t="str">
        <f t="shared" si="31"/>
        <v>19.7%</v>
      </c>
    </row>
    <row r="70" spans="2:19" ht="15" thickBot="1" x14ac:dyDescent="0.4">
      <c r="B70" s="16" t="s">
        <v>16</v>
      </c>
      <c r="C70" s="50">
        <v>3711</v>
      </c>
      <c r="D70" s="50">
        <v>4867</v>
      </c>
      <c r="E70" s="50">
        <v>4767</v>
      </c>
      <c r="F70" s="131">
        <f>E70/D70-1</f>
        <v>-2.0546537908362472E-2</v>
      </c>
      <c r="G70" s="131">
        <f>E70/C70-1</f>
        <v>0.28455941794664508</v>
      </c>
      <c r="L70" s="16" t="s">
        <v>43</v>
      </c>
      <c r="M70" s="50" t="str">
        <f t="shared" si="32"/>
        <v>3,711</v>
      </c>
      <c r="N70" s="50" t="str">
        <f t="shared" si="32"/>
        <v>4,867</v>
      </c>
      <c r="O70" s="50" t="str">
        <f t="shared" si="33"/>
        <v>4,767</v>
      </c>
      <c r="P70" s="67" t="str">
        <f t="shared" ref="P70:Q71" si="34">SUBSTITUTE(TEXT(F70,"0,0%"),",",".")</f>
        <v>-2.1%</v>
      </c>
      <c r="Q70" s="67" t="str">
        <f t="shared" si="34"/>
        <v>28.5%</v>
      </c>
    </row>
    <row r="71" spans="2:19" ht="15" thickBot="1" x14ac:dyDescent="0.4">
      <c r="B71" s="17" t="s">
        <v>126</v>
      </c>
      <c r="C71" s="54">
        <v>6425</v>
      </c>
      <c r="D71" s="54">
        <v>7547</v>
      </c>
      <c r="E71" s="54">
        <v>7476</v>
      </c>
      <c r="F71" s="132">
        <f>7476/7547-1</f>
        <v>-9.4077116735126198E-3</v>
      </c>
      <c r="G71" s="132">
        <f>7476/6425-1</f>
        <v>0.16357976653696493</v>
      </c>
      <c r="J71" s="109"/>
      <c r="L71" s="17" t="s">
        <v>127</v>
      </c>
      <c r="M71" s="18" t="str">
        <f t="shared" si="32"/>
        <v>6,425</v>
      </c>
      <c r="N71" s="18" t="str">
        <f t="shared" si="32"/>
        <v>7,547</v>
      </c>
      <c r="O71" s="18" t="str">
        <f t="shared" si="33"/>
        <v>7,476</v>
      </c>
      <c r="P71" s="68" t="str">
        <f t="shared" si="34"/>
        <v>-0.9%</v>
      </c>
      <c r="Q71" s="68" t="str">
        <f t="shared" si="34"/>
        <v>16.4%</v>
      </c>
    </row>
    <row r="72" spans="2:19" ht="15" thickTop="1" x14ac:dyDescent="0.35">
      <c r="B72" s="161" t="s">
        <v>263</v>
      </c>
      <c r="C72" s="161"/>
      <c r="D72" s="161"/>
      <c r="E72" s="161"/>
      <c r="F72" s="161"/>
      <c r="L72" s="6" t="s">
        <v>264</v>
      </c>
    </row>
    <row r="73" spans="2:19" x14ac:dyDescent="0.35">
      <c r="B73" s="93"/>
      <c r="C73" s="93"/>
      <c r="D73" s="93"/>
      <c r="E73" s="93"/>
      <c r="F73" s="93"/>
      <c r="L73" s="6"/>
    </row>
    <row r="74" spans="2:19" ht="15" thickBot="1" x14ac:dyDescent="0.4">
      <c r="B74" s="5" t="s">
        <v>194</v>
      </c>
      <c r="C74" s="93"/>
      <c r="D74" s="93"/>
      <c r="E74" s="93"/>
      <c r="F74" s="93"/>
      <c r="L74" s="5" t="s">
        <v>195</v>
      </c>
    </row>
    <row r="75" spans="2:19" ht="23.5" thickTop="1" x14ac:dyDescent="0.35">
      <c r="B75" s="151"/>
      <c r="C75" s="56" t="s">
        <v>128</v>
      </c>
      <c r="D75" s="56" t="s">
        <v>129</v>
      </c>
      <c r="E75" s="56" t="s">
        <v>130</v>
      </c>
      <c r="F75" s="56" t="s">
        <v>128</v>
      </c>
      <c r="G75" s="56" t="s">
        <v>129</v>
      </c>
      <c r="H75" s="56" t="s">
        <v>130</v>
      </c>
      <c r="I75" s="56" t="s">
        <v>27</v>
      </c>
      <c r="L75" s="151"/>
      <c r="M75" s="56" t="s">
        <v>207</v>
      </c>
      <c r="N75" s="56" t="s">
        <v>131</v>
      </c>
      <c r="O75" s="56" t="s">
        <v>132</v>
      </c>
      <c r="P75" s="56" t="s">
        <v>133</v>
      </c>
      <c r="Q75" s="56" t="s">
        <v>134</v>
      </c>
      <c r="R75" s="56" t="s">
        <v>209</v>
      </c>
      <c r="S75" s="56" t="s">
        <v>27</v>
      </c>
    </row>
    <row r="76" spans="2:19" ht="23" x14ac:dyDescent="0.35">
      <c r="B76" s="152"/>
      <c r="C76" s="95" t="s">
        <v>205</v>
      </c>
      <c r="D76" s="95" t="s">
        <v>135</v>
      </c>
      <c r="E76" s="95" t="s">
        <v>136</v>
      </c>
      <c r="F76" s="95" t="s">
        <v>206</v>
      </c>
      <c r="G76" s="95" t="s">
        <v>203</v>
      </c>
      <c r="H76" s="95" t="s">
        <v>204</v>
      </c>
      <c r="I76" s="95" t="s">
        <v>137</v>
      </c>
      <c r="L76" s="152"/>
      <c r="M76" s="95" t="s">
        <v>9</v>
      </c>
      <c r="N76" s="95" t="s">
        <v>9</v>
      </c>
      <c r="O76" s="95" t="s">
        <v>138</v>
      </c>
      <c r="P76" s="95" t="s">
        <v>208</v>
      </c>
      <c r="Q76" s="95" t="s">
        <v>209</v>
      </c>
      <c r="R76" s="95" t="s">
        <v>139</v>
      </c>
      <c r="S76" s="95" t="s">
        <v>137</v>
      </c>
    </row>
    <row r="77" spans="2:19" x14ac:dyDescent="0.35">
      <c r="B77" s="152"/>
      <c r="C77" s="95" t="s">
        <v>9</v>
      </c>
      <c r="D77" s="95" t="s">
        <v>9</v>
      </c>
      <c r="E77" s="95" t="s">
        <v>9</v>
      </c>
      <c r="F77" s="95" t="s">
        <v>9</v>
      </c>
      <c r="G77" s="95" t="s">
        <v>140</v>
      </c>
      <c r="H77" s="95" t="s">
        <v>9</v>
      </c>
      <c r="I77" s="94"/>
      <c r="L77" s="152"/>
      <c r="M77" s="94"/>
      <c r="N77" s="94"/>
      <c r="O77" s="95" t="s">
        <v>9</v>
      </c>
      <c r="P77" s="95" t="s">
        <v>9</v>
      </c>
      <c r="Q77" s="95" t="s">
        <v>140</v>
      </c>
      <c r="R77" s="95" t="s">
        <v>9</v>
      </c>
      <c r="S77" s="94"/>
    </row>
    <row r="78" spans="2:19" ht="15" thickBot="1" x14ac:dyDescent="0.4">
      <c r="B78" s="153"/>
      <c r="C78" s="96"/>
      <c r="D78" s="96"/>
      <c r="E78" s="96"/>
      <c r="F78" s="96"/>
      <c r="G78" s="8" t="s">
        <v>9</v>
      </c>
      <c r="H78" s="96"/>
      <c r="I78" s="96"/>
      <c r="L78" s="153"/>
      <c r="M78" s="96"/>
      <c r="N78" s="96"/>
      <c r="O78" s="96"/>
      <c r="P78" s="96"/>
      <c r="Q78" s="8" t="s">
        <v>9</v>
      </c>
      <c r="R78" s="96"/>
      <c r="S78" s="96"/>
    </row>
    <row r="79" spans="2:19" x14ac:dyDescent="0.35">
      <c r="B79" s="22" t="s">
        <v>39</v>
      </c>
      <c r="C79" s="102">
        <v>1927</v>
      </c>
      <c r="D79" s="102">
        <f>D67</f>
        <v>15163</v>
      </c>
      <c r="E79" s="116">
        <f>D79/C79</f>
        <v>7.8687078360145302</v>
      </c>
      <c r="F79" s="102">
        <f>E18</f>
        <v>2000</v>
      </c>
      <c r="G79" s="102">
        <f>E67</f>
        <v>15357</v>
      </c>
      <c r="H79" s="116">
        <f>G79/F79</f>
        <v>7.6784999999999997</v>
      </c>
      <c r="I79" s="103">
        <f>H79/E79-1</f>
        <v>-2.4172690100903504E-2</v>
      </c>
      <c r="L79" s="22" t="s">
        <v>40</v>
      </c>
      <c r="M79" s="48" t="str">
        <f t="shared" ref="M79:N82" si="35">IF(C79&lt;0,CONCATENATE("(",SUBSTITUTE(SUBSTITUTE(SUBSTITUTE(SUBSTITUTE(TEXT(C79,"#.##0"),",","*"),".",","),"*","."),"-",""),")"),IF(C79=0,"       -",SUBSTITUTE(SUBSTITUTE(SUBSTITUTE(TEXT(C79,"#.##0"),",","*"),".",","),"*",".")))</f>
        <v>1,927</v>
      </c>
      <c r="N79" s="48" t="str">
        <f t="shared" si="35"/>
        <v>15,163</v>
      </c>
      <c r="O79" s="128">
        <f>E79</f>
        <v>7.8687078360145302</v>
      </c>
      <c r="P79" s="48" t="str">
        <f t="shared" ref="P79:Q82" si="36">IF(F79&lt;0,CONCATENATE("(",SUBSTITUTE(SUBSTITUTE(SUBSTITUTE(SUBSTITUTE(TEXT(F79,"#.##0"),",","*"),".",","),"*","."),"-",""),")"),IF(F79=0,"       -",SUBSTITUTE(SUBSTITUTE(SUBSTITUTE(TEXT(F79,"#.##0"),",","*"),".",","),"*",".")))</f>
        <v>2,000</v>
      </c>
      <c r="Q79" s="48" t="str">
        <f t="shared" si="36"/>
        <v>15,357</v>
      </c>
      <c r="R79" s="128">
        <f t="shared" ref="R79:R82" si="37">H79</f>
        <v>7.6784999999999997</v>
      </c>
      <c r="S79" s="13" t="str">
        <f>SUBSTITUTE(TEXT(I79,"0,0%"),",",".")</f>
        <v>-2.4%</v>
      </c>
    </row>
    <row r="80" spans="2:19" x14ac:dyDescent="0.35">
      <c r="B80" s="23" t="s">
        <v>41</v>
      </c>
      <c r="C80" s="104">
        <v>1839</v>
      </c>
      <c r="D80" s="104">
        <f>D68</f>
        <v>13677</v>
      </c>
      <c r="E80" s="117">
        <f>D80/C80</f>
        <v>7.4371941272430666</v>
      </c>
      <c r="F80" s="104">
        <f>OLE_LINK7</f>
        <v>2037</v>
      </c>
      <c r="G80" s="104">
        <f>E68</f>
        <v>14161</v>
      </c>
      <c r="H80" s="117">
        <f>G80/F80</f>
        <v>6.9518900343642613</v>
      </c>
      <c r="I80" s="105">
        <f>H80/E80-1</f>
        <v>-6.5253654076487755E-2</v>
      </c>
      <c r="L80" s="23" t="s">
        <v>312</v>
      </c>
      <c r="M80" s="48" t="str">
        <f t="shared" si="35"/>
        <v>1,839</v>
      </c>
      <c r="N80" s="48" t="str">
        <f t="shared" si="35"/>
        <v>13,677</v>
      </c>
      <c r="O80" s="128">
        <f>E80</f>
        <v>7.4371941272430666</v>
      </c>
      <c r="P80" s="48" t="str">
        <f t="shared" si="36"/>
        <v>2,037</v>
      </c>
      <c r="Q80" s="48" t="str">
        <f t="shared" si="36"/>
        <v>14,161</v>
      </c>
      <c r="R80" s="128">
        <f t="shared" si="37"/>
        <v>6.9518900343642613</v>
      </c>
      <c r="S80" s="13" t="str">
        <f>SUBSTITUTE(TEXT(I80,"0,0%"),",",".")</f>
        <v>-6.5%</v>
      </c>
    </row>
    <row r="81" spans="2:19" x14ac:dyDescent="0.35">
      <c r="B81" s="97" t="s">
        <v>141</v>
      </c>
      <c r="C81" s="104">
        <v>3918</v>
      </c>
      <c r="D81" s="104">
        <f>D69</f>
        <v>5377</v>
      </c>
      <c r="E81" s="117">
        <f>D81/C81</f>
        <v>1.3723838693210821</v>
      </c>
      <c r="F81" s="104">
        <f>OLE_LINK4</f>
        <v>3904</v>
      </c>
      <c r="G81" s="104">
        <f>E69</f>
        <v>5128</v>
      </c>
      <c r="H81" s="117">
        <f>G81/F81</f>
        <v>1.3135245901639345</v>
      </c>
      <c r="I81" s="105">
        <f>H81/E81-1</f>
        <v>-4.2888349588563246E-2</v>
      </c>
      <c r="L81" s="23" t="s">
        <v>142</v>
      </c>
      <c r="M81" s="48" t="str">
        <f t="shared" si="35"/>
        <v>3,918</v>
      </c>
      <c r="N81" s="48" t="str">
        <f t="shared" si="35"/>
        <v>5,377</v>
      </c>
      <c r="O81" s="128">
        <f>E81</f>
        <v>1.3723838693210821</v>
      </c>
      <c r="P81" s="48" t="str">
        <f t="shared" si="36"/>
        <v>3,904</v>
      </c>
      <c r="Q81" s="48" t="str">
        <f t="shared" si="36"/>
        <v>5,128</v>
      </c>
      <c r="R81" s="128">
        <f t="shared" si="37"/>
        <v>1.3135245901639345</v>
      </c>
      <c r="S81" s="105" t="str">
        <f>SUBSTITUTE(TEXT(I81,"0,0%"),",",".")</f>
        <v>-4.3%</v>
      </c>
    </row>
    <row r="82" spans="2:19" ht="15" thickBot="1" x14ac:dyDescent="0.4">
      <c r="B82" s="98" t="s">
        <v>16</v>
      </c>
      <c r="C82" s="106">
        <v>7685</v>
      </c>
      <c r="D82" s="106">
        <f>D70</f>
        <v>4867</v>
      </c>
      <c r="E82" s="118">
        <f>D82/C82</f>
        <v>0.63331164606376056</v>
      </c>
      <c r="F82" s="106">
        <f>E22</f>
        <v>7708</v>
      </c>
      <c r="G82" s="106">
        <f>E70</f>
        <v>4767</v>
      </c>
      <c r="H82" s="118">
        <f>G82/F82</f>
        <v>0.61844836533471714</v>
      </c>
      <c r="I82" s="107">
        <f>H82/E82-1</f>
        <v>-2.3469141648386871E-2</v>
      </c>
      <c r="L82" s="25" t="s">
        <v>43</v>
      </c>
      <c r="M82" s="62" t="str">
        <f t="shared" si="35"/>
        <v>7,685</v>
      </c>
      <c r="N82" s="62" t="str">
        <f t="shared" si="35"/>
        <v>4,867</v>
      </c>
      <c r="O82" s="129">
        <f>E82</f>
        <v>0.63331164606376056</v>
      </c>
      <c r="P82" s="62" t="str">
        <f t="shared" si="36"/>
        <v>7,708</v>
      </c>
      <c r="Q82" s="62" t="str">
        <f t="shared" si="36"/>
        <v>4,767</v>
      </c>
      <c r="R82" s="129">
        <f t="shared" si="37"/>
        <v>0.61844836533471714</v>
      </c>
      <c r="S82" s="107" t="str">
        <f>SUBSTITUTE(TEXT(I82,"0,0%"),",",".")</f>
        <v>-2.3%</v>
      </c>
    </row>
    <row r="83" spans="2:19" ht="23.5" thickTop="1" x14ac:dyDescent="0.35">
      <c r="B83" s="101" t="s">
        <v>143</v>
      </c>
      <c r="C83" s="48"/>
      <c r="D83" s="48"/>
      <c r="E83" s="95"/>
      <c r="F83" s="48"/>
      <c r="G83" s="48"/>
      <c r="H83" s="95"/>
      <c r="I83" s="13"/>
      <c r="L83" s="23" t="s">
        <v>144</v>
      </c>
      <c r="M83" s="13"/>
      <c r="N83" s="13"/>
      <c r="O83" s="95"/>
      <c r="P83" s="13"/>
      <c r="Q83" s="13"/>
      <c r="R83" s="95"/>
      <c r="S83" s="13"/>
    </row>
    <row r="84" spans="2:19" ht="14.15" customHeight="1" x14ac:dyDescent="0.35"/>
    <row r="85" spans="2:19" x14ac:dyDescent="0.35">
      <c r="B85" s="97"/>
    </row>
    <row r="86" spans="2:19" x14ac:dyDescent="0.35">
      <c r="C86" s="114"/>
      <c r="D86" s="115"/>
      <c r="F86" s="114"/>
      <c r="G86" s="115"/>
    </row>
    <row r="87" spans="2:19" x14ac:dyDescent="0.35">
      <c r="C87" s="114"/>
      <c r="D87" s="115"/>
      <c r="F87" s="114"/>
      <c r="G87" s="115"/>
    </row>
    <row r="88" spans="2:19" x14ac:dyDescent="0.35">
      <c r="C88" s="114"/>
      <c r="D88" s="115"/>
      <c r="F88" s="114"/>
      <c r="G88" s="115"/>
    </row>
    <row r="89" spans="2:19" x14ac:dyDescent="0.35">
      <c r="C89" s="114"/>
      <c r="D89" s="115"/>
      <c r="F89" s="114"/>
      <c r="G89" s="115"/>
    </row>
    <row r="90" spans="2:19" x14ac:dyDescent="0.35">
      <c r="C90" s="114"/>
      <c r="D90" s="115"/>
    </row>
  </sheetData>
  <mergeCells count="17">
    <mergeCell ref="B75:B78"/>
    <mergeCell ref="L75:L78"/>
    <mergeCell ref="L13:P13"/>
    <mergeCell ref="B16:B17"/>
    <mergeCell ref="L16:L17"/>
    <mergeCell ref="L44:L45"/>
    <mergeCell ref="O44:O45"/>
    <mergeCell ref="B44:B45"/>
    <mergeCell ref="E44:E45"/>
    <mergeCell ref="B13:F13"/>
    <mergeCell ref="B72:F72"/>
    <mergeCell ref="C5:D5"/>
    <mergeCell ref="L3:L5"/>
    <mergeCell ref="P3:P5"/>
    <mergeCell ref="M5:N5"/>
    <mergeCell ref="B3:B5"/>
    <mergeCell ref="F3:F5"/>
  </mergeCells>
  <pageMargins left="0.511811024" right="0.511811024" top="0.78740157499999996" bottom="0.78740157499999996" header="0.31496062000000002" footer="0.31496062000000002"/>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DEBF-33F7-4F6B-AAF8-67A3E77ECA74}">
  <dimension ref="B2:X100"/>
  <sheetViews>
    <sheetView showGridLines="0" tabSelected="1" zoomScale="85" zoomScaleNormal="85" workbookViewId="0">
      <selection activeCell="H12" sqref="H12"/>
    </sheetView>
  </sheetViews>
  <sheetFormatPr defaultRowHeight="14.5" outlineLevelCol="1" x14ac:dyDescent="0.35"/>
  <cols>
    <col min="2" max="2" width="21.54296875" customWidth="1"/>
    <col min="3" max="3" width="12.54296875" customWidth="1"/>
    <col min="4" max="4" width="12" customWidth="1"/>
    <col min="5" max="5" width="14.08984375" customWidth="1"/>
    <col min="6" max="6" width="10.81640625" customWidth="1"/>
    <col min="8" max="8" width="10.26953125" bestFit="1" customWidth="1"/>
    <col min="12" max="12" width="21.54296875" hidden="1" customWidth="1" outlineLevel="1"/>
    <col min="13" max="13" width="12.1796875" hidden="1" customWidth="1" outlineLevel="1"/>
    <col min="14" max="14" width="14.453125" hidden="1" customWidth="1" outlineLevel="1"/>
    <col min="15" max="15" width="14.81640625" hidden="1" customWidth="1" outlineLevel="1"/>
    <col min="16" max="16" width="10.08984375" hidden="1" customWidth="1" outlineLevel="1"/>
    <col min="17" max="17" width="10.81640625" hidden="1" customWidth="1" outlineLevel="1"/>
    <col min="18" max="19" width="8.7265625" hidden="1" customWidth="1" outlineLevel="1"/>
    <col min="20" max="20" width="8.7265625" customWidth="1" collapsed="1"/>
  </cols>
  <sheetData>
    <row r="2" spans="2:24" ht="15" thickBot="1" x14ac:dyDescent="0.4">
      <c r="B2" s="5" t="s">
        <v>196</v>
      </c>
      <c r="C2" s="4"/>
      <c r="D2" s="4"/>
      <c r="E2" s="4"/>
      <c r="F2" s="4"/>
      <c r="G2" s="4"/>
      <c r="H2" s="4"/>
      <c r="I2" s="4"/>
      <c r="J2" s="4"/>
      <c r="K2" s="4"/>
      <c r="L2" s="5" t="s">
        <v>197</v>
      </c>
    </row>
    <row r="3" spans="2:24" ht="15" thickTop="1" x14ac:dyDescent="0.35">
      <c r="B3" s="148" t="s">
        <v>0</v>
      </c>
      <c r="C3" s="56" t="s">
        <v>1</v>
      </c>
      <c r="D3" s="56" t="s">
        <v>2</v>
      </c>
      <c r="E3" s="56" t="s">
        <v>2</v>
      </c>
      <c r="F3" s="56" t="s">
        <v>3</v>
      </c>
      <c r="G3" s="19" t="s">
        <v>4</v>
      </c>
      <c r="H3" s="1"/>
      <c r="I3" s="1"/>
      <c r="J3" s="1"/>
      <c r="L3" s="142" t="s">
        <v>5</v>
      </c>
      <c r="M3" s="19" t="s">
        <v>6</v>
      </c>
      <c r="N3" s="19" t="s">
        <v>6</v>
      </c>
      <c r="O3" s="19" t="s">
        <v>6</v>
      </c>
      <c r="P3" s="19" t="s">
        <v>7</v>
      </c>
      <c r="Q3" s="19" t="s">
        <v>4</v>
      </c>
    </row>
    <row r="4" spans="2:24" ht="23.5" x14ac:dyDescent="0.35">
      <c r="B4" s="149"/>
      <c r="C4" s="95" t="s">
        <v>9</v>
      </c>
      <c r="D4" s="95" t="s">
        <v>313</v>
      </c>
      <c r="E4" s="95" t="s">
        <v>314</v>
      </c>
      <c r="F4" s="95" t="s">
        <v>188</v>
      </c>
      <c r="G4" s="95" t="s">
        <v>315</v>
      </c>
      <c r="H4" s="1"/>
      <c r="I4" s="1"/>
      <c r="J4" s="1"/>
      <c r="L4" s="143"/>
      <c r="M4" s="1" t="s">
        <v>9</v>
      </c>
      <c r="N4" s="1" t="s">
        <v>316</v>
      </c>
      <c r="O4" s="1" t="s">
        <v>317</v>
      </c>
      <c r="P4" s="95" t="s">
        <v>188</v>
      </c>
      <c r="Q4" s="95" t="s">
        <v>315</v>
      </c>
    </row>
    <row r="5" spans="2:24" ht="23.15" customHeight="1" thickBot="1" x14ac:dyDescent="0.4">
      <c r="B5" s="150"/>
      <c r="C5" s="162" t="s">
        <v>299</v>
      </c>
      <c r="D5" s="162"/>
      <c r="E5" s="162"/>
      <c r="F5" s="18" t="s">
        <v>11</v>
      </c>
      <c r="G5" s="20"/>
      <c r="H5" s="1"/>
      <c r="I5" s="1"/>
      <c r="J5" s="1"/>
      <c r="L5" s="144"/>
      <c r="M5" s="162" t="s">
        <v>299</v>
      </c>
      <c r="N5" s="162"/>
      <c r="O5" s="162"/>
      <c r="P5" s="20" t="s">
        <v>11</v>
      </c>
      <c r="Q5" s="20"/>
    </row>
    <row r="6" spans="2:24" ht="15.5" thickTop="1" thickBot="1" x14ac:dyDescent="0.4">
      <c r="B6" s="10" t="s">
        <v>306</v>
      </c>
      <c r="C6" s="46">
        <v>162243</v>
      </c>
      <c r="D6" s="136">
        <v>187464</v>
      </c>
      <c r="E6" s="52">
        <v>188730</v>
      </c>
      <c r="F6" s="69">
        <f>E6/$E$12</f>
        <v>0.28958933032179662</v>
      </c>
      <c r="G6" s="69">
        <f t="shared" ref="G6:G11" si="0">E6/D6-1</f>
        <v>6.7532966329535427E-3</v>
      </c>
      <c r="H6" s="108"/>
      <c r="I6" s="108"/>
      <c r="J6" s="2"/>
      <c r="L6" s="10" t="s">
        <v>309</v>
      </c>
      <c r="M6" s="46" t="str">
        <f>IF(C6&lt;0,CONCATENATE("(",SUBSTITUTE(SUBSTITUTE(SUBSTITUTE(SUBSTITUTE(TEXT(C6,"#.##0"),",","*"),".",","),"*","."),"-",""),")"),IF(C6=0,"       -",SUBSTITUTE(SUBSTITUTE(SUBSTITUTE(TEXT(C6,"#.##0"),",","*"),".",","),"*",".")))</f>
        <v>162,243</v>
      </c>
      <c r="N6" s="46" t="str">
        <f t="shared" ref="N6:O12" si="1">IF(D6&lt;0,CONCATENATE("(",SUBSTITUTE(SUBSTITUTE(SUBSTITUTE(SUBSTITUTE(TEXT(D6,"#.##0"),",","*"),".",","),"*","."),"-",""),")"),IF(D6=0,"       -",SUBSTITUTE(SUBSTITUTE(SUBSTITUTE(TEXT(D6,"#.##0"),",","*"),".",","),"*",".")))</f>
        <v>187,464</v>
      </c>
      <c r="O6" s="46" t="str">
        <f t="shared" si="1"/>
        <v>188,730</v>
      </c>
      <c r="P6" s="47" t="str">
        <f t="shared" ref="P6:Q12" si="2">SUBSTITUTE(TEXT(F6,"0,0%"),",",".")</f>
        <v>29.0%</v>
      </c>
      <c r="Q6" s="47" t="str">
        <f t="shared" si="2"/>
        <v>0.7%</v>
      </c>
    </row>
    <row r="7" spans="2:24" x14ac:dyDescent="0.35">
      <c r="B7" s="12" t="s">
        <v>307</v>
      </c>
      <c r="C7" s="48">
        <v>85823</v>
      </c>
      <c r="D7" s="137">
        <v>90088</v>
      </c>
      <c r="E7" s="48">
        <v>106715</v>
      </c>
      <c r="F7" s="66">
        <f t="shared" ref="F7:F12" si="3">E7/$E$12</f>
        <v>0.16374463723462368</v>
      </c>
      <c r="G7" s="66">
        <f t="shared" si="0"/>
        <v>0.18456398188437961</v>
      </c>
      <c r="H7" s="108"/>
      <c r="I7" s="108"/>
      <c r="J7" s="3"/>
      <c r="L7" s="12" t="s">
        <v>310</v>
      </c>
      <c r="M7" s="48" t="str">
        <f t="shared" ref="M7:M12" si="4">IF(C7&lt;0,CONCATENATE("(",SUBSTITUTE(SUBSTITUTE(SUBSTITUTE(SUBSTITUTE(TEXT(C7,"#.##0"),",","*"),".",","),"*","."),"-",""),")"),IF(C7=0,"       -",SUBSTITUTE(SUBSTITUTE(SUBSTITUTE(TEXT(C7,"#.##0"),",","*"),".",","),"*",".")))</f>
        <v>85,823</v>
      </c>
      <c r="N7" s="48" t="str">
        <f t="shared" si="1"/>
        <v>90,088</v>
      </c>
      <c r="O7" s="48" t="str">
        <f t="shared" si="1"/>
        <v>106,715</v>
      </c>
      <c r="P7" s="49" t="str">
        <f t="shared" si="2"/>
        <v>16.4%</v>
      </c>
      <c r="Q7" s="49" t="str">
        <f t="shared" si="2"/>
        <v>18.5%</v>
      </c>
      <c r="U7" s="109"/>
      <c r="W7" s="120"/>
      <c r="X7" s="120"/>
    </row>
    <row r="8" spans="2:24" ht="15" thickBot="1" x14ac:dyDescent="0.4">
      <c r="B8" s="14" t="s">
        <v>308</v>
      </c>
      <c r="C8" s="50">
        <v>76420</v>
      </c>
      <c r="D8" s="138">
        <v>97376</v>
      </c>
      <c r="E8" s="50">
        <v>82015</v>
      </c>
      <c r="F8" s="67">
        <f t="shared" si="3"/>
        <v>0.12584469308717294</v>
      </c>
      <c r="G8" s="67">
        <f t="shared" si="0"/>
        <v>-0.15774934275386132</v>
      </c>
      <c r="H8" s="108"/>
      <c r="I8" s="108"/>
      <c r="J8" s="3"/>
      <c r="L8" s="14" t="s">
        <v>311</v>
      </c>
      <c r="M8" s="50" t="str">
        <f t="shared" si="4"/>
        <v>76,420</v>
      </c>
      <c r="N8" s="50" t="str">
        <f t="shared" si="1"/>
        <v>97,376</v>
      </c>
      <c r="O8" s="50" t="str">
        <f t="shared" si="1"/>
        <v>82,015</v>
      </c>
      <c r="P8" s="51" t="str">
        <f t="shared" si="2"/>
        <v>12.6%</v>
      </c>
      <c r="Q8" s="51" t="str">
        <f t="shared" si="2"/>
        <v>-15.8%</v>
      </c>
      <c r="U8" s="109"/>
      <c r="W8" s="120"/>
      <c r="X8" s="120"/>
    </row>
    <row r="9" spans="2:24" ht="15" thickBot="1" x14ac:dyDescent="0.4">
      <c r="B9" s="9" t="s">
        <v>14</v>
      </c>
      <c r="C9" s="52">
        <v>346941</v>
      </c>
      <c r="D9" s="139">
        <v>336770</v>
      </c>
      <c r="E9" s="52">
        <v>320009</v>
      </c>
      <c r="F9" s="69">
        <f t="shared" si="3"/>
        <v>0.4910252318494559</v>
      </c>
      <c r="G9" s="69">
        <f t="shared" si="0"/>
        <v>-4.9769872613356303E-2</v>
      </c>
      <c r="H9" s="108"/>
      <c r="I9" s="108"/>
      <c r="J9" s="2"/>
      <c r="L9" s="9" t="s">
        <v>15</v>
      </c>
      <c r="M9" s="52" t="str">
        <f t="shared" si="4"/>
        <v>346,941</v>
      </c>
      <c r="N9" s="52" t="str">
        <f t="shared" si="1"/>
        <v>336,770</v>
      </c>
      <c r="O9" s="52" t="str">
        <f t="shared" si="1"/>
        <v>320,009</v>
      </c>
      <c r="P9" s="53" t="str">
        <f t="shared" si="2"/>
        <v>49.1%</v>
      </c>
      <c r="Q9" s="53" t="str">
        <f t="shared" si="2"/>
        <v>-5.0%</v>
      </c>
      <c r="U9" s="109"/>
      <c r="W9" s="120"/>
      <c r="X9" s="120"/>
    </row>
    <row r="10" spans="2:24" ht="15" thickBot="1" x14ac:dyDescent="0.4">
      <c r="B10" s="9" t="s">
        <v>16</v>
      </c>
      <c r="C10" s="52">
        <v>137585</v>
      </c>
      <c r="D10" s="139">
        <v>103436</v>
      </c>
      <c r="E10" s="52">
        <v>96661</v>
      </c>
      <c r="F10" s="69">
        <f t="shared" si="3"/>
        <v>0.14831767211484756</v>
      </c>
      <c r="G10" s="69">
        <f t="shared" si="0"/>
        <v>-6.5499439266793025E-2</v>
      </c>
      <c r="H10" s="108"/>
      <c r="I10" s="108"/>
      <c r="J10" s="2"/>
      <c r="L10" s="9" t="s">
        <v>17</v>
      </c>
      <c r="M10" s="52" t="str">
        <f t="shared" si="4"/>
        <v>137,585</v>
      </c>
      <c r="N10" s="52" t="str">
        <f t="shared" si="1"/>
        <v>103,436</v>
      </c>
      <c r="O10" s="52" t="str">
        <f t="shared" si="1"/>
        <v>96,661</v>
      </c>
      <c r="P10" s="53" t="str">
        <f t="shared" si="2"/>
        <v>14.8%</v>
      </c>
      <c r="Q10" s="53" t="str">
        <f t="shared" si="2"/>
        <v>-6.5%</v>
      </c>
      <c r="U10" s="109"/>
      <c r="W10" s="120"/>
      <c r="X10" s="120"/>
    </row>
    <row r="11" spans="2:24" ht="15" thickBot="1" x14ac:dyDescent="0.4">
      <c r="B11" s="16" t="s">
        <v>18</v>
      </c>
      <c r="C11" s="50">
        <v>27615</v>
      </c>
      <c r="D11" s="138">
        <v>46733</v>
      </c>
      <c r="E11" s="50">
        <v>46316</v>
      </c>
      <c r="F11" s="67">
        <f t="shared" si="3"/>
        <v>7.1067765713899916E-2</v>
      </c>
      <c r="G11" s="67">
        <f t="shared" si="0"/>
        <v>-8.9230308347419962E-3</v>
      </c>
      <c r="H11" s="108"/>
      <c r="I11" s="108"/>
      <c r="J11" s="3"/>
      <c r="L11" s="16" t="s">
        <v>19</v>
      </c>
      <c r="M11" s="50" t="str">
        <f t="shared" si="4"/>
        <v>27,615</v>
      </c>
      <c r="N11" s="50" t="str">
        <f t="shared" si="1"/>
        <v>46,733</v>
      </c>
      <c r="O11" s="50" t="str">
        <f t="shared" si="1"/>
        <v>46,316</v>
      </c>
      <c r="P11" s="51" t="str">
        <f t="shared" si="2"/>
        <v>7.1%</v>
      </c>
      <c r="Q11" s="51" t="str">
        <f t="shared" si="2"/>
        <v>-0.9%</v>
      </c>
      <c r="U11" s="109"/>
      <c r="W11" s="120"/>
      <c r="X11" s="120"/>
    </row>
    <row r="12" spans="2:24" ht="15" thickBot="1" x14ac:dyDescent="0.4">
      <c r="B12" s="17" t="s">
        <v>20</v>
      </c>
      <c r="C12" s="54">
        <v>674384</v>
      </c>
      <c r="D12" s="140">
        <v>674403</v>
      </c>
      <c r="E12" s="54">
        <v>651716</v>
      </c>
      <c r="F12" s="68">
        <f t="shared" si="3"/>
        <v>1</v>
      </c>
      <c r="G12" s="68">
        <f t="shared" ref="G12" si="5">E12/D12-1</f>
        <v>-3.3640123190436633E-2</v>
      </c>
      <c r="H12" s="108"/>
      <c r="I12" s="108"/>
      <c r="J12" s="2"/>
      <c r="L12" s="17" t="s">
        <v>21</v>
      </c>
      <c r="M12" s="54" t="str">
        <f t="shared" si="4"/>
        <v>674,384</v>
      </c>
      <c r="N12" s="54" t="str">
        <f t="shared" si="1"/>
        <v>674,403</v>
      </c>
      <c r="O12" s="54" t="str">
        <f t="shared" si="1"/>
        <v>651,716</v>
      </c>
      <c r="P12" s="55" t="str">
        <f t="shared" si="2"/>
        <v>100.0%</v>
      </c>
      <c r="Q12" s="55" t="str">
        <f t="shared" si="2"/>
        <v>-3.4%</v>
      </c>
      <c r="U12" s="109"/>
      <c r="W12" s="120"/>
      <c r="X12" s="120"/>
    </row>
    <row r="13" spans="2:24" ht="15" thickTop="1" x14ac:dyDescent="0.35">
      <c r="B13" s="163" t="s">
        <v>22</v>
      </c>
      <c r="C13" s="163"/>
      <c r="D13" s="163"/>
      <c r="E13" s="163"/>
      <c r="F13" s="163"/>
      <c r="G13" s="2"/>
      <c r="H13" s="2"/>
      <c r="I13" s="2"/>
      <c r="J13" s="2"/>
      <c r="L13" s="164" t="s">
        <v>23</v>
      </c>
      <c r="M13" s="164"/>
      <c r="N13" s="164"/>
      <c r="O13" s="164"/>
      <c r="P13" s="164"/>
    </row>
    <row r="14" spans="2:24" ht="29.15" customHeight="1" x14ac:dyDescent="0.35">
      <c r="B14" s="160" t="s">
        <v>305</v>
      </c>
      <c r="C14" s="160"/>
      <c r="D14" s="160"/>
      <c r="E14" s="160"/>
      <c r="F14" s="160"/>
      <c r="G14" s="2"/>
      <c r="H14" s="2"/>
      <c r="I14" s="2"/>
      <c r="J14" s="2"/>
      <c r="L14" s="154" t="s">
        <v>318</v>
      </c>
      <c r="M14" s="154"/>
      <c r="N14" s="154"/>
      <c r="O14" s="154"/>
      <c r="P14" s="154"/>
    </row>
    <row r="16" spans="2:24" ht="15" thickBot="1" x14ac:dyDescent="0.4">
      <c r="B16" s="5" t="s">
        <v>198</v>
      </c>
      <c r="C16" s="4"/>
      <c r="D16" s="4"/>
      <c r="E16" s="4"/>
      <c r="F16" s="4"/>
      <c r="G16" s="4"/>
      <c r="H16" s="4"/>
      <c r="I16" s="4"/>
      <c r="J16" s="4"/>
      <c r="K16" s="4"/>
      <c r="L16" s="5" t="s">
        <v>199</v>
      </c>
    </row>
    <row r="17" spans="2:19" ht="21.5" thickTop="1" x14ac:dyDescent="0.35">
      <c r="B17" s="142" t="s">
        <v>24</v>
      </c>
      <c r="C17" s="19" t="s">
        <v>211</v>
      </c>
      <c r="D17" s="19" t="s">
        <v>186</v>
      </c>
      <c r="E17" s="19" t="s">
        <v>186</v>
      </c>
      <c r="F17" s="19" t="s">
        <v>27</v>
      </c>
      <c r="G17" s="19" t="s">
        <v>27</v>
      </c>
      <c r="L17" s="142" t="s">
        <v>28</v>
      </c>
      <c r="M17" s="19" t="s">
        <v>212</v>
      </c>
      <c r="N17" s="19" t="s">
        <v>189</v>
      </c>
      <c r="O17" s="19" t="s">
        <v>189</v>
      </c>
      <c r="P17" s="19" t="s">
        <v>27</v>
      </c>
      <c r="Q17" s="19" t="s">
        <v>27</v>
      </c>
    </row>
    <row r="18" spans="2:19" ht="15" thickBot="1" x14ac:dyDescent="0.4">
      <c r="B18" s="155"/>
      <c r="C18" s="28" t="s">
        <v>31</v>
      </c>
      <c r="D18" s="29" t="s">
        <v>32</v>
      </c>
      <c r="E18" s="29" t="s">
        <v>33</v>
      </c>
      <c r="F18" s="29" t="s">
        <v>34</v>
      </c>
      <c r="G18" s="29" t="s">
        <v>35</v>
      </c>
      <c r="L18" s="155"/>
      <c r="M18" s="28" t="s">
        <v>36</v>
      </c>
      <c r="N18" s="29" t="s">
        <v>37</v>
      </c>
      <c r="O18" s="29" t="s">
        <v>38</v>
      </c>
      <c r="P18" s="29" t="s">
        <v>34</v>
      </c>
      <c r="Q18" s="29" t="s">
        <v>35</v>
      </c>
    </row>
    <row r="19" spans="2:19" x14ac:dyDescent="0.35">
      <c r="B19" s="22" t="s">
        <v>39</v>
      </c>
      <c r="C19" s="60">
        <v>2000</v>
      </c>
      <c r="D19" s="48">
        <v>2020</v>
      </c>
      <c r="E19" s="48">
        <v>2020</v>
      </c>
      <c r="F19" s="66">
        <f>E19/C19-1</f>
        <v>1.0000000000000009E-2</v>
      </c>
      <c r="G19" s="66">
        <f>E19/D19-1</f>
        <v>0</v>
      </c>
      <c r="H19" s="109"/>
      <c r="I19" s="109"/>
      <c r="L19" s="22" t="s">
        <v>40</v>
      </c>
      <c r="M19" s="57" t="str">
        <f>IF(C19&lt;0,CONCATENATE("(",SUBSTITUTE(SUBSTITUTE(SUBSTITUTE(SUBSTITUTE(TEXT(C19,"#.##0"),",","*"),".",","),"*","."),"-",""),")"),IF(C19=0,"       -",SUBSTITUTE(SUBSTITUTE(SUBSTITUTE(TEXT(C19,"#.##0"),",","*"),".",","),"*",".")))</f>
        <v>2,000</v>
      </c>
      <c r="N19" s="58" t="str">
        <f t="shared" ref="M19:O23" si="6">IF(D19&lt;0,CONCATENATE("(",SUBSTITUTE(SUBSTITUTE(SUBSTITUTE(SUBSTITUTE(TEXT(D19,"#.##0"),",","*"),".",","),"*","."),"-",""),")"),IF(D19=0,"       -",SUBSTITUTE(SUBSTITUTE(SUBSTITUTE(TEXT(D19,"#.##0"),",","*"),".",","),"*",".")))</f>
        <v>2,020</v>
      </c>
      <c r="O19" s="58" t="str">
        <f>IF(E19&lt;0,CONCATENATE("(",SUBSTITUTE(SUBSTITUTE(SUBSTITUTE(SUBSTITUTE(TEXT(E19,"#.##0"),",","*"),".",","),"*","."),"-",""),")"),IF(E19=0,"       -",SUBSTITUTE(SUBSTITUTE(SUBSTITUTE(TEXT(E19,"#.##0"),",","*"),".",","),"*",".")))</f>
        <v>2,020</v>
      </c>
      <c r="P19" s="59" t="str">
        <f>SUBSTITUTE(TEXT(F19,"0,0%"),",",".")</f>
        <v>1.0%</v>
      </c>
      <c r="Q19" s="59" t="str">
        <f>SUBSTITUTE(TEXT(G19,"0,0%"),",",".")</f>
        <v>0.0%</v>
      </c>
    </row>
    <row r="20" spans="2:19" x14ac:dyDescent="0.35">
      <c r="B20" s="23" t="s">
        <v>41</v>
      </c>
      <c r="C20" s="60">
        <v>2037</v>
      </c>
      <c r="D20" s="48">
        <v>1869</v>
      </c>
      <c r="E20" s="48">
        <v>1869</v>
      </c>
      <c r="F20" s="66">
        <f>E20/C20-1</f>
        <v>-8.2474226804123751E-2</v>
      </c>
      <c r="G20" s="66">
        <f t="shared" ref="G20:G23" si="7">E20/D20-1</f>
        <v>0</v>
      </c>
      <c r="H20" s="109"/>
      <c r="I20" s="109"/>
      <c r="L20" s="23" t="s">
        <v>312</v>
      </c>
      <c r="M20" s="60" t="str">
        <f t="shared" si="6"/>
        <v>2,037</v>
      </c>
      <c r="N20" s="48" t="str">
        <f t="shared" si="6"/>
        <v>1,869</v>
      </c>
      <c r="O20" s="48" t="str">
        <f t="shared" si="6"/>
        <v>1,869</v>
      </c>
      <c r="P20" s="49" t="str">
        <f t="shared" ref="P20:Q23" si="8">SUBSTITUTE(TEXT(F20,"0,0%"),",",".")</f>
        <v>-8.2%</v>
      </c>
      <c r="Q20" s="49" t="str">
        <f t="shared" si="8"/>
        <v>0.0%</v>
      </c>
    </row>
    <row r="21" spans="2:19" x14ac:dyDescent="0.35">
      <c r="B21" s="23" t="s">
        <v>42</v>
      </c>
      <c r="C21" s="60">
        <v>2491</v>
      </c>
      <c r="D21" s="48">
        <v>2410</v>
      </c>
      <c r="E21" s="48">
        <v>2410</v>
      </c>
      <c r="F21" s="66">
        <f t="shared" ref="F21:F23" si="9">E21/C21-1</f>
        <v>-3.2517061421115989E-2</v>
      </c>
      <c r="G21" s="66">
        <f t="shared" si="7"/>
        <v>0</v>
      </c>
      <c r="H21" s="109"/>
      <c r="I21" s="109"/>
      <c r="L21" s="23" t="s">
        <v>185</v>
      </c>
      <c r="M21" s="60" t="str">
        <f t="shared" si="6"/>
        <v>2,491</v>
      </c>
      <c r="N21" s="48" t="str">
        <f t="shared" si="6"/>
        <v>2,410</v>
      </c>
      <c r="O21" s="48" t="str">
        <f t="shared" si="6"/>
        <v>2,410</v>
      </c>
      <c r="P21" s="49" t="str">
        <f>SUBSTITUTE(TEXT(F21,"0,0%"),",",".")</f>
        <v>-3.3%</v>
      </c>
      <c r="Q21" s="49" t="str">
        <f>SUBSTITUTE(TEXT(G21,"0,0%"),",",".")</f>
        <v>0.0%</v>
      </c>
    </row>
    <row r="22" spans="2:19" x14ac:dyDescent="0.35">
      <c r="B22" s="23" t="s">
        <v>14</v>
      </c>
      <c r="C22" s="60">
        <v>3904</v>
      </c>
      <c r="D22" s="48">
        <v>3948</v>
      </c>
      <c r="E22" s="48">
        <v>3432</v>
      </c>
      <c r="F22" s="66">
        <f t="shared" si="9"/>
        <v>-0.12090163934426235</v>
      </c>
      <c r="G22" s="66">
        <f t="shared" si="7"/>
        <v>-0.1306990881458967</v>
      </c>
      <c r="H22" s="109"/>
      <c r="I22" s="109"/>
      <c r="L22" s="23" t="s">
        <v>15</v>
      </c>
      <c r="M22" s="60" t="str">
        <f t="shared" si="6"/>
        <v>3,904</v>
      </c>
      <c r="N22" s="48" t="str">
        <f t="shared" si="6"/>
        <v>3,948</v>
      </c>
      <c r="O22" s="48" t="str">
        <f t="shared" si="6"/>
        <v>3,432</v>
      </c>
      <c r="P22" s="49" t="str">
        <f t="shared" si="8"/>
        <v>-12.1%</v>
      </c>
      <c r="Q22" s="49" t="str">
        <f t="shared" si="8"/>
        <v>-13.1%</v>
      </c>
    </row>
    <row r="23" spans="2:19" ht="15" thickBot="1" x14ac:dyDescent="0.4">
      <c r="B23" s="25" t="s">
        <v>16</v>
      </c>
      <c r="C23" s="61">
        <v>7708</v>
      </c>
      <c r="D23" s="62">
        <v>7580</v>
      </c>
      <c r="E23" s="62">
        <v>7580</v>
      </c>
      <c r="F23" s="89">
        <f t="shared" si="9"/>
        <v>-1.660612350804358E-2</v>
      </c>
      <c r="G23" s="89">
        <f t="shared" si="7"/>
        <v>0</v>
      </c>
      <c r="H23" s="109"/>
      <c r="I23" s="109"/>
      <c r="L23" s="25" t="s">
        <v>43</v>
      </c>
      <c r="M23" s="61" t="str">
        <f>IF(C23&lt;0,CONCATENATE("(",SUBSTITUTE(SUBSTITUTE(SUBSTITUTE(SUBSTITUTE(TEXT(C23,"#.##0"),",","*"),".",","),"*","."),"-",""),")"),IF(C23=0,"       -",SUBSTITUTE(SUBSTITUTE(SUBSTITUTE(TEXT(C23,"#.##0"),",","*"),".",","),"*",".")))</f>
        <v>7,708</v>
      </c>
      <c r="N23" s="62" t="str">
        <f t="shared" si="6"/>
        <v>7,580</v>
      </c>
      <c r="O23" s="62" t="str">
        <f t="shared" si="6"/>
        <v>7,580</v>
      </c>
      <c r="P23" s="63" t="str">
        <f t="shared" si="8"/>
        <v>-1.7%</v>
      </c>
      <c r="Q23" s="63" t="str">
        <f t="shared" si="8"/>
        <v>0.0%</v>
      </c>
    </row>
    <row r="24" spans="2:19" ht="15" thickTop="1" x14ac:dyDescent="0.35"/>
    <row r="26" spans="2:19" ht="15" thickBot="1" x14ac:dyDescent="0.4">
      <c r="B26" s="5" t="s">
        <v>200</v>
      </c>
      <c r="L26" s="5" t="s">
        <v>201</v>
      </c>
    </row>
    <row r="27" spans="2:19" ht="22" customHeight="1" thickTop="1" thickBot="1" x14ac:dyDescent="0.4">
      <c r="B27" s="30" t="s">
        <v>11</v>
      </c>
      <c r="C27" s="31" t="s">
        <v>12</v>
      </c>
      <c r="D27" s="31" t="s">
        <v>44</v>
      </c>
      <c r="E27" s="32" t="s">
        <v>45</v>
      </c>
      <c r="F27" s="32" t="s">
        <v>279</v>
      </c>
      <c r="G27" s="32" t="s">
        <v>280</v>
      </c>
      <c r="L27" s="30" t="s">
        <v>11</v>
      </c>
      <c r="M27" s="31" t="s">
        <v>13</v>
      </c>
      <c r="N27" s="31" t="s">
        <v>46</v>
      </c>
      <c r="O27" s="32" t="s">
        <v>47</v>
      </c>
      <c r="P27" s="32" t="s">
        <v>281</v>
      </c>
      <c r="Q27" s="32" t="s">
        <v>282</v>
      </c>
    </row>
    <row r="28" spans="2:19" ht="15.5" thickTop="1" thickBot="1" x14ac:dyDescent="0.4">
      <c r="B28" s="33" t="s">
        <v>48</v>
      </c>
      <c r="C28" s="71">
        <v>79.599999999999994</v>
      </c>
      <c r="D28" s="71">
        <v>74.8</v>
      </c>
      <c r="E28" s="133">
        <v>80</v>
      </c>
      <c r="F28" s="11">
        <v>77.8</v>
      </c>
      <c r="G28" s="11">
        <v>79.8</v>
      </c>
      <c r="L28" s="33" t="s">
        <v>49</v>
      </c>
      <c r="M28" s="71" t="str">
        <f>IF(C28&lt;0,CONCATENATE("(",SUBSTITUTE(SUBSTITUTE(SUBSTITUTE(SUBSTITUTE(TEXT(C28,"#.##0,00"),",","*"),".",","),"*","."),"-",""),")"),IF(C28=0,"       -",SUBSTITUTE(SUBSTITUTE(SUBSTITUTE(TEXT(C28,"#.##0,0"),",","*"),".",","),"*",".")))</f>
        <v>79.6</v>
      </c>
      <c r="N28" s="71" t="str">
        <f t="shared" ref="N28:Q42" si="10">IF(D28&lt;0,CONCATENATE("(",SUBSTITUTE(SUBSTITUTE(SUBSTITUTE(SUBSTITUTE(TEXT(D28,"#.##0,00"),",","*"),".",","),"*","."),"-",""),")"),IF(D28=0,"       -",SUBSTITUTE(SUBSTITUTE(SUBSTITUTE(TEXT(D28,"#.##0,0"),",","*"),".",","),"*",".")))</f>
        <v>74.8</v>
      </c>
      <c r="O28" s="71" t="str">
        <f t="shared" si="10"/>
        <v>80.0</v>
      </c>
      <c r="P28" s="71" t="str">
        <f t="shared" si="10"/>
        <v>77.8</v>
      </c>
      <c r="Q28" s="71" t="str">
        <f t="shared" si="10"/>
        <v>79.8</v>
      </c>
      <c r="S28" s="113"/>
    </row>
    <row r="29" spans="2:19" x14ac:dyDescent="0.35">
      <c r="B29" s="34" t="s">
        <v>52</v>
      </c>
      <c r="C29" s="24">
        <v>10.1</v>
      </c>
      <c r="D29" s="24">
        <v>15.2</v>
      </c>
      <c r="E29" s="13">
        <v>21.5</v>
      </c>
      <c r="F29" s="13">
        <v>13.2</v>
      </c>
      <c r="G29" s="13">
        <v>11.1</v>
      </c>
      <c r="L29" s="34" t="s">
        <v>53</v>
      </c>
      <c r="M29" s="24" t="str">
        <f t="shared" ref="M29:M42" si="11">IF(C29&lt;0,CONCATENATE("(",SUBSTITUTE(SUBSTITUTE(SUBSTITUTE(SUBSTITUTE(TEXT(C29,"#.##0,00"),",","*"),".",","),"*","."),"-",""),")"),IF(C29=0,"       -",SUBSTITUTE(SUBSTITUTE(SUBSTITUTE(TEXT(C29,"#.##0,0"),",","*"),".",","),"*",".")))</f>
        <v>10.1</v>
      </c>
      <c r="N29" s="24" t="str">
        <f t="shared" si="10"/>
        <v>15.2</v>
      </c>
      <c r="O29" s="24" t="str">
        <f t="shared" si="10"/>
        <v>21.5</v>
      </c>
      <c r="P29" s="24" t="str">
        <f t="shared" si="10"/>
        <v>13.2</v>
      </c>
      <c r="Q29" s="24" t="str">
        <f t="shared" si="10"/>
        <v>11.1</v>
      </c>
    </row>
    <row r="30" spans="2:19" x14ac:dyDescent="0.35">
      <c r="B30" s="34" t="s">
        <v>55</v>
      </c>
      <c r="C30" s="24">
        <v>21.1</v>
      </c>
      <c r="D30" s="24">
        <v>18.7</v>
      </c>
      <c r="E30" s="13">
        <v>32</v>
      </c>
      <c r="F30" s="13">
        <v>21.3</v>
      </c>
      <c r="G30" s="13">
        <v>23.2</v>
      </c>
      <c r="L30" s="34" t="s">
        <v>56</v>
      </c>
      <c r="M30" s="24" t="str">
        <f t="shared" si="11"/>
        <v>21.1</v>
      </c>
      <c r="N30" s="24" t="str">
        <f t="shared" si="10"/>
        <v>18.7</v>
      </c>
      <c r="O30" s="24" t="str">
        <f t="shared" si="10"/>
        <v>32.0</v>
      </c>
      <c r="P30" s="24" t="str">
        <f t="shared" si="10"/>
        <v>21.3</v>
      </c>
      <c r="Q30" s="24" t="str">
        <f t="shared" si="10"/>
        <v>23.2</v>
      </c>
    </row>
    <row r="31" spans="2:19" x14ac:dyDescent="0.35">
      <c r="B31" s="34" t="s">
        <v>58</v>
      </c>
      <c r="C31" s="24">
        <v>20.399999999999999</v>
      </c>
      <c r="D31" s="24">
        <v>16.8</v>
      </c>
      <c r="E31" s="13">
        <v>10.9</v>
      </c>
      <c r="F31" s="13">
        <v>18.100000000000001</v>
      </c>
      <c r="G31" s="13">
        <v>20.6</v>
      </c>
      <c r="L31" s="34" t="s">
        <v>59</v>
      </c>
      <c r="M31" s="24" t="str">
        <f t="shared" si="11"/>
        <v>20.4</v>
      </c>
      <c r="N31" s="24" t="str">
        <f t="shared" si="10"/>
        <v>16.8</v>
      </c>
      <c r="O31" s="24" t="str">
        <f t="shared" si="10"/>
        <v>10.9</v>
      </c>
      <c r="P31" s="24" t="str">
        <f t="shared" si="10"/>
        <v>18.1</v>
      </c>
      <c r="Q31" s="24" t="str">
        <f t="shared" si="10"/>
        <v>20.6</v>
      </c>
    </row>
    <row r="32" spans="2:19" x14ac:dyDescent="0.35">
      <c r="B32" s="34" t="s">
        <v>61</v>
      </c>
      <c r="C32" s="24">
        <v>2.2999999999999998</v>
      </c>
      <c r="D32" s="24">
        <v>1.4</v>
      </c>
      <c r="E32" s="13">
        <v>1.6</v>
      </c>
      <c r="F32" s="13">
        <v>1.9</v>
      </c>
      <c r="G32" s="13">
        <v>1.6</v>
      </c>
      <c r="L32" s="34" t="s">
        <v>62</v>
      </c>
      <c r="M32" s="24" t="str">
        <f t="shared" si="11"/>
        <v>2.3</v>
      </c>
      <c r="N32" s="24" t="str">
        <f t="shared" si="10"/>
        <v>1.4</v>
      </c>
      <c r="O32" s="24" t="str">
        <f t="shared" si="10"/>
        <v>1.6</v>
      </c>
      <c r="P32" s="24" t="str">
        <f t="shared" si="10"/>
        <v>1.9</v>
      </c>
      <c r="Q32" s="24" t="str">
        <f t="shared" si="10"/>
        <v>1.6</v>
      </c>
    </row>
    <row r="33" spans="2:18" x14ac:dyDescent="0.35">
      <c r="B33" s="34" t="s">
        <v>66</v>
      </c>
      <c r="C33" s="24">
        <v>3.4</v>
      </c>
      <c r="D33" s="24">
        <v>3.5</v>
      </c>
      <c r="E33" s="13">
        <v>3.6</v>
      </c>
      <c r="F33" s="13">
        <v>3.5</v>
      </c>
      <c r="G33" s="13">
        <v>4.3</v>
      </c>
      <c r="L33" s="34" t="s">
        <v>67</v>
      </c>
      <c r="M33" s="24" t="str">
        <f t="shared" si="11"/>
        <v>3.4</v>
      </c>
      <c r="N33" s="24" t="str">
        <f t="shared" si="10"/>
        <v>3.5</v>
      </c>
      <c r="O33" s="24" t="str">
        <f t="shared" si="10"/>
        <v>3.6</v>
      </c>
      <c r="P33" s="24" t="str">
        <f t="shared" si="10"/>
        <v>3.5</v>
      </c>
      <c r="Q33" s="24" t="str">
        <f t="shared" si="10"/>
        <v>4.3</v>
      </c>
    </row>
    <row r="34" spans="2:18" x14ac:dyDescent="0.35">
      <c r="B34" s="34" t="s">
        <v>71</v>
      </c>
      <c r="C34" s="24">
        <v>0.9</v>
      </c>
      <c r="D34" s="24">
        <v>0.7</v>
      </c>
      <c r="E34" s="13">
        <v>0.6</v>
      </c>
      <c r="F34" s="13">
        <v>0.8</v>
      </c>
      <c r="G34" s="13">
        <v>0.6</v>
      </c>
      <c r="L34" s="34" t="s">
        <v>72</v>
      </c>
      <c r="M34" s="24" t="str">
        <f t="shared" si="11"/>
        <v>0.9</v>
      </c>
      <c r="N34" s="24" t="str">
        <f t="shared" si="10"/>
        <v>0.7</v>
      </c>
      <c r="O34" s="24" t="str">
        <f t="shared" si="10"/>
        <v>0.6</v>
      </c>
      <c r="P34" s="24" t="str">
        <f t="shared" si="10"/>
        <v>0.8</v>
      </c>
      <c r="Q34" s="24" t="str">
        <f t="shared" si="10"/>
        <v>0.6</v>
      </c>
    </row>
    <row r="35" spans="2:18" x14ac:dyDescent="0.35">
      <c r="B35" s="34" t="s">
        <v>74</v>
      </c>
      <c r="C35" s="24">
        <v>9.6999999999999993</v>
      </c>
      <c r="D35" s="24">
        <v>3</v>
      </c>
      <c r="E35" s="13">
        <v>2.4</v>
      </c>
      <c r="F35" s="13">
        <v>6.4</v>
      </c>
      <c r="G35" s="13">
        <v>6.3</v>
      </c>
      <c r="L35" s="34" t="s">
        <v>75</v>
      </c>
      <c r="M35" s="24" t="str">
        <f t="shared" si="11"/>
        <v>9.7</v>
      </c>
      <c r="N35" s="24" t="str">
        <f t="shared" si="10"/>
        <v>3.0</v>
      </c>
      <c r="O35" s="24" t="str">
        <f t="shared" si="10"/>
        <v>2.4</v>
      </c>
      <c r="P35" s="24" t="str">
        <f t="shared" si="10"/>
        <v>6.4</v>
      </c>
      <c r="Q35" s="24" t="str">
        <f t="shared" si="10"/>
        <v>6.3</v>
      </c>
    </row>
    <row r="36" spans="2:18" x14ac:dyDescent="0.35">
      <c r="B36" s="34" t="s">
        <v>78</v>
      </c>
      <c r="C36" s="24">
        <v>4.3</v>
      </c>
      <c r="D36" s="24">
        <v>4.0999999999999996</v>
      </c>
      <c r="E36" s="13">
        <v>3.3</v>
      </c>
      <c r="F36" s="13">
        <v>4.0999999999999996</v>
      </c>
      <c r="G36" s="13">
        <v>4</v>
      </c>
      <c r="L36" s="34" t="s">
        <v>79</v>
      </c>
      <c r="M36" s="24" t="str">
        <f t="shared" si="11"/>
        <v>4.3</v>
      </c>
      <c r="N36" s="24" t="str">
        <f t="shared" si="10"/>
        <v>4.1</v>
      </c>
      <c r="O36" s="24" t="str">
        <f t="shared" si="10"/>
        <v>3.3</v>
      </c>
      <c r="P36" s="24" t="str">
        <f t="shared" si="10"/>
        <v>4.1</v>
      </c>
      <c r="Q36" s="24" t="str">
        <f t="shared" si="10"/>
        <v>4.0</v>
      </c>
    </row>
    <row r="37" spans="2:18" ht="15" thickBot="1" x14ac:dyDescent="0.4">
      <c r="B37" s="35" t="s">
        <v>84</v>
      </c>
      <c r="C37" s="36">
        <v>7.4</v>
      </c>
      <c r="D37" s="36">
        <v>11.4</v>
      </c>
      <c r="E37" s="15">
        <v>4</v>
      </c>
      <c r="F37" s="15">
        <v>8.5</v>
      </c>
      <c r="G37" s="15">
        <v>8.1</v>
      </c>
      <c r="L37" s="35" t="s">
        <v>85</v>
      </c>
      <c r="M37" s="36" t="str">
        <f t="shared" si="11"/>
        <v>7.4</v>
      </c>
      <c r="N37" s="36" t="str">
        <f t="shared" si="10"/>
        <v>11.4</v>
      </c>
      <c r="O37" s="36" t="str">
        <f t="shared" si="10"/>
        <v>4.0</v>
      </c>
      <c r="P37" s="36" t="str">
        <f t="shared" si="10"/>
        <v>8.5</v>
      </c>
      <c r="Q37" s="36" t="str">
        <f t="shared" si="10"/>
        <v>8.1</v>
      </c>
    </row>
    <row r="38" spans="2:18" ht="15" thickBot="1" x14ac:dyDescent="0.4">
      <c r="B38" s="33" t="s">
        <v>88</v>
      </c>
      <c r="C38" s="21">
        <v>20.399999999999999</v>
      </c>
      <c r="D38" s="21">
        <v>25.2</v>
      </c>
      <c r="E38" s="134">
        <v>20</v>
      </c>
      <c r="F38" s="8">
        <v>22.2</v>
      </c>
      <c r="G38" s="8">
        <v>20.2</v>
      </c>
      <c r="L38" s="33" t="s">
        <v>89</v>
      </c>
      <c r="M38" s="21" t="str">
        <f t="shared" si="11"/>
        <v>20.4</v>
      </c>
      <c r="N38" s="21" t="str">
        <f t="shared" si="10"/>
        <v>25.2</v>
      </c>
      <c r="O38" s="21" t="str">
        <f t="shared" si="10"/>
        <v>20.0</v>
      </c>
      <c r="P38" s="21" t="str">
        <f t="shared" si="10"/>
        <v>22.2</v>
      </c>
      <c r="Q38" s="21" t="str">
        <f t="shared" si="10"/>
        <v>20.2</v>
      </c>
    </row>
    <row r="39" spans="2:18" x14ac:dyDescent="0.35">
      <c r="B39" s="34" t="s">
        <v>71</v>
      </c>
      <c r="C39" s="24">
        <v>7.2</v>
      </c>
      <c r="D39" s="24">
        <v>8.1</v>
      </c>
      <c r="E39" s="13">
        <v>6.4</v>
      </c>
      <c r="F39" s="13">
        <v>7.4</v>
      </c>
      <c r="G39" s="13">
        <v>6.6</v>
      </c>
      <c r="L39" s="34" t="s">
        <v>72</v>
      </c>
      <c r="M39" s="24" t="str">
        <f t="shared" si="11"/>
        <v>7.2</v>
      </c>
      <c r="N39" s="24" t="str">
        <f t="shared" si="10"/>
        <v>8.1</v>
      </c>
      <c r="O39" s="24" t="str">
        <f t="shared" si="10"/>
        <v>6.4</v>
      </c>
      <c r="P39" s="24" t="str">
        <f t="shared" si="10"/>
        <v>7.4</v>
      </c>
      <c r="Q39" s="24" t="str">
        <f t="shared" si="10"/>
        <v>6.6</v>
      </c>
    </row>
    <row r="40" spans="2:18" x14ac:dyDescent="0.35">
      <c r="B40" s="34" t="s">
        <v>94</v>
      </c>
      <c r="C40" s="24">
        <v>4.5999999999999996</v>
      </c>
      <c r="D40" s="24">
        <v>6.5</v>
      </c>
      <c r="E40" s="13">
        <v>4.5999999999999996</v>
      </c>
      <c r="F40" s="13">
        <v>5.3</v>
      </c>
      <c r="G40" s="13">
        <v>4.4000000000000004</v>
      </c>
      <c r="L40" s="34" t="s">
        <v>95</v>
      </c>
      <c r="M40" s="24" t="str">
        <f t="shared" si="11"/>
        <v>4.6</v>
      </c>
      <c r="N40" s="24" t="str">
        <f t="shared" si="10"/>
        <v>6.5</v>
      </c>
      <c r="O40" s="24" t="str">
        <f t="shared" si="10"/>
        <v>4.6</v>
      </c>
      <c r="P40" s="24" t="str">
        <f t="shared" si="10"/>
        <v>5.3</v>
      </c>
      <c r="Q40" s="24" t="str">
        <f t="shared" si="10"/>
        <v>4.4</v>
      </c>
    </row>
    <row r="41" spans="2:18" x14ac:dyDescent="0.35">
      <c r="B41" s="34" t="s">
        <v>303</v>
      </c>
      <c r="C41" s="24">
        <v>5.8</v>
      </c>
      <c r="D41" s="24">
        <v>7.2</v>
      </c>
      <c r="E41" s="13">
        <v>6.3</v>
      </c>
      <c r="F41" s="13">
        <v>6.4</v>
      </c>
      <c r="G41" s="13">
        <v>6.4</v>
      </c>
      <c r="L41" s="34" t="s">
        <v>304</v>
      </c>
      <c r="M41" s="24" t="str">
        <f t="shared" si="11"/>
        <v>5.8</v>
      </c>
      <c r="N41" s="24" t="str">
        <f t="shared" si="10"/>
        <v>7.2</v>
      </c>
      <c r="O41" s="24" t="str">
        <f t="shared" si="10"/>
        <v>6.3</v>
      </c>
      <c r="P41" s="24" t="str">
        <f t="shared" si="10"/>
        <v>6.4</v>
      </c>
      <c r="Q41" s="24" t="str">
        <f t="shared" si="10"/>
        <v>6.4</v>
      </c>
    </row>
    <row r="42" spans="2:18" ht="15" thickBot="1" x14ac:dyDescent="0.4">
      <c r="B42" s="37" t="s">
        <v>84</v>
      </c>
      <c r="C42" s="26">
        <v>2.8</v>
      </c>
      <c r="D42" s="26">
        <v>3.4</v>
      </c>
      <c r="E42" s="27">
        <v>2.7</v>
      </c>
      <c r="F42" s="135">
        <v>3.1</v>
      </c>
      <c r="G42" s="27">
        <v>2.8</v>
      </c>
      <c r="L42" s="37" t="s">
        <v>85</v>
      </c>
      <c r="M42" s="26" t="str">
        <f t="shared" si="11"/>
        <v>2.8</v>
      </c>
      <c r="N42" s="26" t="str">
        <f t="shared" si="10"/>
        <v>3.4</v>
      </c>
      <c r="O42" s="26" t="str">
        <f t="shared" si="10"/>
        <v>2.7</v>
      </c>
      <c r="P42" s="26" t="str">
        <f t="shared" si="10"/>
        <v>3.1</v>
      </c>
      <c r="Q42" s="26" t="str">
        <f t="shared" si="10"/>
        <v>2.8</v>
      </c>
    </row>
    <row r="43" spans="2:18" ht="15" thickTop="1" x14ac:dyDescent="0.35">
      <c r="C43" s="72"/>
    </row>
    <row r="44" spans="2:18" ht="15" thickBot="1" x14ac:dyDescent="0.4">
      <c r="B44" s="5" t="s">
        <v>298</v>
      </c>
      <c r="L44" s="5" t="s">
        <v>187</v>
      </c>
    </row>
    <row r="45" spans="2:18" ht="21.5" thickTop="1" x14ac:dyDescent="0.35">
      <c r="B45" s="156" t="s">
        <v>101</v>
      </c>
      <c r="C45" s="19" t="s">
        <v>102</v>
      </c>
      <c r="D45" s="19" t="s">
        <v>102</v>
      </c>
      <c r="E45" s="145" t="s">
        <v>103</v>
      </c>
      <c r="F45" s="19" t="s">
        <v>104</v>
      </c>
      <c r="G45" s="19" t="s">
        <v>105</v>
      </c>
      <c r="H45" s="19" t="s">
        <v>106</v>
      </c>
      <c r="I45" s="1"/>
      <c r="J45" s="1"/>
      <c r="L45" s="156" t="s">
        <v>101</v>
      </c>
      <c r="M45" s="19" t="s">
        <v>107</v>
      </c>
      <c r="N45" s="19" t="s">
        <v>107</v>
      </c>
      <c r="O45" s="145" t="s">
        <v>108</v>
      </c>
      <c r="P45" s="19" t="s">
        <v>109</v>
      </c>
      <c r="Q45" s="19" t="s">
        <v>110</v>
      </c>
      <c r="R45" s="19" t="s">
        <v>110</v>
      </c>
    </row>
    <row r="46" spans="2:18" ht="15" thickBot="1" x14ac:dyDescent="0.4">
      <c r="B46" s="158"/>
      <c r="C46" s="65" t="s">
        <v>111</v>
      </c>
      <c r="D46" s="65" t="s">
        <v>112</v>
      </c>
      <c r="E46" s="159"/>
      <c r="F46" s="65" t="s">
        <v>113</v>
      </c>
      <c r="G46" s="65" t="s">
        <v>188</v>
      </c>
      <c r="H46" s="65" t="s">
        <v>9</v>
      </c>
      <c r="I46" s="1"/>
      <c r="J46" s="1"/>
      <c r="L46" s="157"/>
      <c r="M46" s="20" t="s">
        <v>114</v>
      </c>
      <c r="N46" s="20" t="s">
        <v>115</v>
      </c>
      <c r="O46" s="147"/>
      <c r="P46" s="20" t="s">
        <v>115</v>
      </c>
      <c r="Q46" s="20" t="s">
        <v>188</v>
      </c>
      <c r="R46" s="20" t="s">
        <v>9</v>
      </c>
    </row>
    <row r="47" spans="2:18" ht="15.5" thickTop="1" thickBot="1" x14ac:dyDescent="0.4">
      <c r="B47" s="38" t="s">
        <v>48</v>
      </c>
      <c r="C47" s="64">
        <f t="shared" ref="C47:F47" si="12">SUM(C48:C56)</f>
        <v>12069.748</v>
      </c>
      <c r="D47" s="54">
        <f t="shared" si="12"/>
        <v>10886.892000000002</v>
      </c>
      <c r="E47" s="64">
        <f t="shared" si="12"/>
        <v>3906.8039999999996</v>
      </c>
      <c r="F47" s="54">
        <f t="shared" si="12"/>
        <v>3888.7329999999997</v>
      </c>
      <c r="G47" s="54">
        <f>SUM(G48:G56)</f>
        <v>5583.7060000000001</v>
      </c>
      <c r="H47" s="54">
        <f>SUM(H48:H56)</f>
        <v>6372.0300000000007</v>
      </c>
      <c r="I47" s="99"/>
      <c r="J47" s="112"/>
      <c r="L47" s="30" t="s">
        <v>49</v>
      </c>
      <c r="M47" s="64" t="str">
        <f>IF(C47&lt;0,CONCATENATE("(",SUBSTITUTE(SUBSTITUTE(SUBSTITUTE(SUBSTITUTE(TEXT(C47,"#.##0"),",","*"),".",","),"*","."),"-",""),")"),IF(C47=0,"       -",SUBSTITUTE(SUBSTITUTE(SUBSTITUTE(TEXT(C47,"#.##0"),",","*"),".",","),"*",".")))</f>
        <v>12,070</v>
      </c>
      <c r="N47" s="54" t="str">
        <f t="shared" ref="N47:R62" si="13">IF(D47&lt;0,CONCATENATE("(",SUBSTITUTE(SUBSTITUTE(SUBSTITUTE(SUBSTITUTE(TEXT(D47,"#.##0"),",","*"),".",","),"*","."),"-",""),")"),IF(D47=0,"       -",SUBSTITUTE(SUBSTITUTE(SUBSTITUTE(TEXT(D47,"#.##0"),",","*"),".",","),"*",".")))</f>
        <v>10,887</v>
      </c>
      <c r="O47" s="64" t="str">
        <f t="shared" si="13"/>
        <v>3,907</v>
      </c>
      <c r="P47" s="54" t="str">
        <f t="shared" si="13"/>
        <v>3,889</v>
      </c>
      <c r="Q47" s="54" t="str">
        <f t="shared" si="13"/>
        <v>5,584</v>
      </c>
      <c r="R47" s="54" t="str">
        <f t="shared" si="13"/>
        <v>6,372</v>
      </c>
    </row>
    <row r="48" spans="2:18" ht="15" thickTop="1" x14ac:dyDescent="0.35">
      <c r="B48" s="34" t="s">
        <v>52</v>
      </c>
      <c r="C48" s="60">
        <f>C29*D$68/100</f>
        <v>1531.463</v>
      </c>
      <c r="D48" s="60">
        <f>C29*D$69/100</f>
        <v>1381.3769999999997</v>
      </c>
      <c r="E48" s="60">
        <f>D29*D$70/100</f>
        <v>793.89599999999996</v>
      </c>
      <c r="F48" s="60">
        <f>E29*D$71/100</f>
        <v>1046.405</v>
      </c>
      <c r="G48" s="60">
        <f>F29*7177/100</f>
        <v>947.36399999999992</v>
      </c>
      <c r="H48" s="60">
        <f>G29*7985/100</f>
        <v>886.33500000000004</v>
      </c>
      <c r="I48" s="60"/>
      <c r="J48" s="60"/>
      <c r="L48" s="34" t="s">
        <v>53</v>
      </c>
      <c r="M48" s="60" t="str">
        <f t="shared" ref="M48:M56" si="14">IF(C48&lt;0,CONCATENATE("(",SUBSTITUTE(SUBSTITUTE(SUBSTITUTE(SUBSTITUTE(TEXT(C48,"#.##0"),",","*"),".",","),"*","."),"-",""),")"),IF(C48=0,"       -",SUBSTITUTE(SUBSTITUTE(SUBSTITUTE(TEXT(C48,"#.##0"),",","*"),".",","),"*",".")))</f>
        <v>1,531</v>
      </c>
      <c r="N48" s="48" t="str">
        <f t="shared" si="13"/>
        <v>1,381</v>
      </c>
      <c r="O48" s="24" t="str">
        <f t="shared" si="13"/>
        <v>794</v>
      </c>
      <c r="P48" s="13" t="str">
        <f t="shared" si="13"/>
        <v>1,046</v>
      </c>
      <c r="Q48" s="13" t="str">
        <f t="shared" si="13"/>
        <v>947</v>
      </c>
      <c r="R48" s="13" t="str">
        <f t="shared" si="13"/>
        <v>886</v>
      </c>
    </row>
    <row r="49" spans="2:18" x14ac:dyDescent="0.35">
      <c r="B49" s="34" t="s">
        <v>55</v>
      </c>
      <c r="C49" s="60">
        <f t="shared" ref="C49:C56" si="15">C30*D$68/100</f>
        <v>3199.3930000000005</v>
      </c>
      <c r="D49" s="60">
        <f t="shared" ref="D49:D61" si="16">C30*D$69/100</f>
        <v>2885.8470000000002</v>
      </c>
      <c r="E49" s="60">
        <f t="shared" ref="E49:E61" si="17">D30*D$70/100</f>
        <v>976.70099999999991</v>
      </c>
      <c r="F49" s="60">
        <f t="shared" ref="F49:F56" si="18">E30*D$71/100</f>
        <v>1557.44</v>
      </c>
      <c r="G49" s="60">
        <f t="shared" ref="G49:G56" si="19">F30*7177/100</f>
        <v>1528.701</v>
      </c>
      <c r="H49" s="60">
        <f>G30*7985/100</f>
        <v>1852.52</v>
      </c>
      <c r="I49" s="60"/>
      <c r="J49" s="60"/>
      <c r="L49" s="34" t="s">
        <v>56</v>
      </c>
      <c r="M49" s="60" t="str">
        <f t="shared" si="14"/>
        <v>3,199</v>
      </c>
      <c r="N49" s="48" t="str">
        <f t="shared" si="13"/>
        <v>2,886</v>
      </c>
      <c r="O49" s="60" t="str">
        <f t="shared" si="13"/>
        <v>977</v>
      </c>
      <c r="P49" s="48" t="str">
        <f t="shared" si="13"/>
        <v>1,557</v>
      </c>
      <c r="Q49" s="48" t="str">
        <f t="shared" si="13"/>
        <v>1,529</v>
      </c>
      <c r="R49" s="48" t="str">
        <f t="shared" si="13"/>
        <v>1,853</v>
      </c>
    </row>
    <row r="50" spans="2:18" x14ac:dyDescent="0.35">
      <c r="B50" s="34" t="s">
        <v>58</v>
      </c>
      <c r="C50" s="60">
        <f t="shared" si="15"/>
        <v>3093.2519999999995</v>
      </c>
      <c r="D50" s="60">
        <f t="shared" si="16"/>
        <v>2790.1079999999997</v>
      </c>
      <c r="E50" s="60">
        <f t="shared" si="17"/>
        <v>877.46400000000006</v>
      </c>
      <c r="F50" s="60">
        <f t="shared" si="18"/>
        <v>530.50300000000004</v>
      </c>
      <c r="G50" s="60">
        <f t="shared" si="19"/>
        <v>1299.037</v>
      </c>
      <c r="H50" s="60">
        <f t="shared" ref="H50:H61" si="20">G31*7985/100</f>
        <v>1644.91</v>
      </c>
      <c r="I50" s="60"/>
      <c r="J50" s="60"/>
      <c r="K50" s="60"/>
      <c r="L50" s="34" t="s">
        <v>116</v>
      </c>
      <c r="M50" s="60" t="str">
        <f t="shared" si="14"/>
        <v>3,093</v>
      </c>
      <c r="N50" s="48" t="str">
        <f t="shared" si="13"/>
        <v>2,790</v>
      </c>
      <c r="O50" s="60" t="str">
        <f t="shared" si="13"/>
        <v>877</v>
      </c>
      <c r="P50" s="13" t="str">
        <f t="shared" si="13"/>
        <v>531</v>
      </c>
      <c r="Q50" s="48" t="str">
        <f t="shared" si="13"/>
        <v>1,299</v>
      </c>
      <c r="R50" s="48" t="str">
        <f t="shared" si="13"/>
        <v>1,645</v>
      </c>
    </row>
    <row r="51" spans="2:18" x14ac:dyDescent="0.35">
      <c r="B51" s="34" t="s">
        <v>61</v>
      </c>
      <c r="C51" s="60">
        <f t="shared" si="15"/>
        <v>348.74899999999997</v>
      </c>
      <c r="D51" s="60">
        <f t="shared" si="16"/>
        <v>314.57099999999997</v>
      </c>
      <c r="E51" s="60">
        <f t="shared" si="17"/>
        <v>73.122</v>
      </c>
      <c r="F51" s="60">
        <f t="shared" si="18"/>
        <v>77.872000000000014</v>
      </c>
      <c r="G51" s="60">
        <f t="shared" si="19"/>
        <v>136.363</v>
      </c>
      <c r="H51" s="60">
        <f t="shared" si="20"/>
        <v>127.76</v>
      </c>
      <c r="I51" s="60"/>
      <c r="J51" s="60"/>
      <c r="K51" s="60"/>
      <c r="L51" s="34" t="s">
        <v>117</v>
      </c>
      <c r="M51" s="24" t="str">
        <f t="shared" si="14"/>
        <v>349</v>
      </c>
      <c r="N51" s="13" t="str">
        <f t="shared" si="13"/>
        <v>315</v>
      </c>
      <c r="O51" s="24" t="str">
        <f t="shared" si="13"/>
        <v>73</v>
      </c>
      <c r="P51" s="13" t="str">
        <f t="shared" si="13"/>
        <v>78</v>
      </c>
      <c r="Q51" s="13" t="str">
        <f t="shared" si="13"/>
        <v>136</v>
      </c>
      <c r="R51" s="13" t="str">
        <f t="shared" si="13"/>
        <v>128</v>
      </c>
    </row>
    <row r="52" spans="2:18" x14ac:dyDescent="0.35">
      <c r="B52" s="34" t="s">
        <v>66</v>
      </c>
      <c r="C52" s="60">
        <f t="shared" si="15"/>
        <v>515.54199999999992</v>
      </c>
      <c r="D52" s="60">
        <f t="shared" si="16"/>
        <v>465.01799999999997</v>
      </c>
      <c r="E52" s="60">
        <f t="shared" si="17"/>
        <v>182.80500000000001</v>
      </c>
      <c r="F52" s="60">
        <f t="shared" si="18"/>
        <v>175.21200000000002</v>
      </c>
      <c r="G52" s="60">
        <f t="shared" si="19"/>
        <v>251.19499999999999</v>
      </c>
      <c r="H52" s="60">
        <f t="shared" si="20"/>
        <v>343.35500000000002</v>
      </c>
      <c r="I52" s="60"/>
      <c r="J52" s="60"/>
      <c r="K52" s="60"/>
      <c r="L52" s="34" t="s">
        <v>118</v>
      </c>
      <c r="M52" s="24" t="str">
        <f t="shared" si="14"/>
        <v>516</v>
      </c>
      <c r="N52" s="13" t="str">
        <f t="shared" si="13"/>
        <v>465</v>
      </c>
      <c r="O52" s="24" t="str">
        <f t="shared" si="13"/>
        <v>183</v>
      </c>
      <c r="P52" s="13" t="str">
        <f t="shared" si="13"/>
        <v>175</v>
      </c>
      <c r="Q52" s="13" t="str">
        <f t="shared" si="13"/>
        <v>251</v>
      </c>
      <c r="R52" s="13" t="str">
        <f t="shared" si="13"/>
        <v>343</v>
      </c>
    </row>
    <row r="53" spans="2:18" x14ac:dyDescent="0.35">
      <c r="B53" s="34" t="s">
        <v>71</v>
      </c>
      <c r="C53" s="60">
        <f t="shared" si="15"/>
        <v>136.46700000000001</v>
      </c>
      <c r="D53" s="60">
        <f t="shared" si="16"/>
        <v>123.09300000000002</v>
      </c>
      <c r="E53" s="60">
        <f t="shared" si="17"/>
        <v>36.561</v>
      </c>
      <c r="F53" s="60">
        <f t="shared" si="18"/>
        <v>29.201999999999998</v>
      </c>
      <c r="G53" s="60">
        <f t="shared" si="19"/>
        <v>57.416000000000004</v>
      </c>
      <c r="H53" s="60">
        <f t="shared" si="20"/>
        <v>47.91</v>
      </c>
      <c r="I53" s="60"/>
      <c r="J53" s="60"/>
      <c r="K53" s="60"/>
      <c r="L53" s="34" t="s">
        <v>72</v>
      </c>
      <c r="M53" s="24" t="str">
        <f t="shared" si="14"/>
        <v>136</v>
      </c>
      <c r="N53" s="13" t="str">
        <f t="shared" si="13"/>
        <v>123</v>
      </c>
      <c r="O53" s="24" t="str">
        <f t="shared" si="13"/>
        <v>37</v>
      </c>
      <c r="P53" s="13" t="str">
        <f t="shared" si="13"/>
        <v>29</v>
      </c>
      <c r="Q53" s="13" t="str">
        <f t="shared" si="13"/>
        <v>57</v>
      </c>
      <c r="R53" s="13" t="str">
        <f t="shared" si="13"/>
        <v>48</v>
      </c>
    </row>
    <row r="54" spans="2:18" x14ac:dyDescent="0.35">
      <c r="B54" s="34" t="s">
        <v>74</v>
      </c>
      <c r="C54" s="60">
        <f t="shared" si="15"/>
        <v>1470.8109999999997</v>
      </c>
      <c r="D54" s="60">
        <f t="shared" si="16"/>
        <v>1326.6689999999999</v>
      </c>
      <c r="E54" s="60">
        <f t="shared" si="17"/>
        <v>156.69</v>
      </c>
      <c r="F54" s="60">
        <f t="shared" si="18"/>
        <v>116.80799999999999</v>
      </c>
      <c r="G54" s="60">
        <f t="shared" si="19"/>
        <v>459.32800000000003</v>
      </c>
      <c r="H54" s="60">
        <f t="shared" si="20"/>
        <v>503.05500000000001</v>
      </c>
      <c r="I54" s="60"/>
      <c r="J54" s="60"/>
      <c r="K54" s="60"/>
      <c r="L54" s="34" t="s">
        <v>75</v>
      </c>
      <c r="M54" s="60" t="str">
        <f t="shared" si="14"/>
        <v>1,471</v>
      </c>
      <c r="N54" s="48" t="str">
        <f t="shared" si="13"/>
        <v>1,327</v>
      </c>
      <c r="O54" s="24" t="str">
        <f t="shared" si="13"/>
        <v>157</v>
      </c>
      <c r="P54" s="13" t="str">
        <f t="shared" si="13"/>
        <v>117</v>
      </c>
      <c r="Q54" s="13" t="str">
        <f t="shared" si="13"/>
        <v>459</v>
      </c>
      <c r="R54" s="13" t="str">
        <f t="shared" si="13"/>
        <v>503</v>
      </c>
    </row>
    <row r="55" spans="2:18" x14ac:dyDescent="0.35">
      <c r="B55" s="34" t="s">
        <v>78</v>
      </c>
      <c r="C55" s="60">
        <f t="shared" si="15"/>
        <v>652.0089999999999</v>
      </c>
      <c r="D55" s="60">
        <f t="shared" si="16"/>
        <v>588.11099999999999</v>
      </c>
      <c r="E55" s="60">
        <f t="shared" si="17"/>
        <v>214.143</v>
      </c>
      <c r="F55" s="60">
        <f t="shared" si="18"/>
        <v>160.61099999999999</v>
      </c>
      <c r="G55" s="60">
        <f t="shared" si="19"/>
        <v>294.25699999999995</v>
      </c>
      <c r="H55" s="60">
        <f t="shared" si="20"/>
        <v>319.39999999999998</v>
      </c>
      <c r="I55" s="60"/>
      <c r="J55" s="60"/>
      <c r="L55" s="34" t="s">
        <v>119</v>
      </c>
      <c r="M55" s="24" t="str">
        <f t="shared" si="14"/>
        <v>652</v>
      </c>
      <c r="N55" s="13" t="str">
        <f t="shared" si="13"/>
        <v>588</v>
      </c>
      <c r="O55" s="24" t="str">
        <f t="shared" si="13"/>
        <v>214</v>
      </c>
      <c r="P55" s="13" t="str">
        <f t="shared" si="13"/>
        <v>161</v>
      </c>
      <c r="Q55" s="13" t="str">
        <f t="shared" si="13"/>
        <v>294</v>
      </c>
      <c r="R55" s="13" t="str">
        <f t="shared" si="13"/>
        <v>319</v>
      </c>
    </row>
    <row r="56" spans="2:18" ht="15" thickBot="1" x14ac:dyDescent="0.4">
      <c r="B56" s="37" t="s">
        <v>84</v>
      </c>
      <c r="C56" s="60">
        <f t="shared" si="15"/>
        <v>1122.0620000000001</v>
      </c>
      <c r="D56" s="60">
        <f t="shared" si="16"/>
        <v>1012.0980000000001</v>
      </c>
      <c r="E56" s="60">
        <f t="shared" si="17"/>
        <v>595.42200000000003</v>
      </c>
      <c r="F56" s="60">
        <f t="shared" si="18"/>
        <v>194.68</v>
      </c>
      <c r="G56" s="60">
        <f t="shared" si="19"/>
        <v>610.04499999999996</v>
      </c>
      <c r="H56" s="60">
        <f t="shared" si="20"/>
        <v>646.78499999999997</v>
      </c>
      <c r="I56" s="60"/>
      <c r="J56" s="60"/>
      <c r="L56" s="37" t="s">
        <v>85</v>
      </c>
      <c r="M56" s="26" t="str">
        <f t="shared" si="14"/>
        <v>1,122</v>
      </c>
      <c r="N56" s="27" t="str">
        <f t="shared" si="13"/>
        <v>1,012</v>
      </c>
      <c r="O56" s="26" t="str">
        <f t="shared" si="13"/>
        <v>595</v>
      </c>
      <c r="P56" s="27" t="str">
        <f t="shared" si="13"/>
        <v>195</v>
      </c>
      <c r="Q56" s="27" t="str">
        <f t="shared" si="13"/>
        <v>610</v>
      </c>
      <c r="R56" s="27" t="str">
        <f t="shared" si="13"/>
        <v>647</v>
      </c>
    </row>
    <row r="57" spans="2:18" ht="15.5" thickTop="1" thickBot="1" x14ac:dyDescent="0.4">
      <c r="B57" s="38" t="s">
        <v>88</v>
      </c>
      <c r="C57" s="91">
        <f t="shared" ref="C57:F57" si="21">SUM(C58:C61)</f>
        <v>3093.252</v>
      </c>
      <c r="D57" s="92">
        <f t="shared" si="21"/>
        <v>2790.1080000000002</v>
      </c>
      <c r="E57" s="91">
        <f t="shared" si="21"/>
        <v>1316.1959999999999</v>
      </c>
      <c r="F57" s="91">
        <f t="shared" si="21"/>
        <v>860.6</v>
      </c>
      <c r="G57" s="91">
        <f>F38*7177/100</f>
        <v>1593.2939999999999</v>
      </c>
      <c r="H57" s="91">
        <f t="shared" si="20"/>
        <v>1612.97</v>
      </c>
      <c r="I57" s="100"/>
      <c r="J57" s="100"/>
      <c r="L57" s="38" t="s">
        <v>89</v>
      </c>
      <c r="M57" s="64" t="str">
        <f>IF(C57&lt;0,CONCATENATE("(",SUBSTITUTE(SUBSTITUTE(SUBSTITUTE(SUBSTITUTE(TEXT(C57,"#.##0"),",","*"),".",","),"*","."),"-",""),")"),IF(C57=0,"       -",SUBSTITUTE(SUBSTITUTE(SUBSTITUTE(TEXT(C57,"#.##0"),",","*"),".",","),"*",".")))</f>
        <v>3,093</v>
      </c>
      <c r="N57" s="54" t="str">
        <f t="shared" si="13"/>
        <v>2,790</v>
      </c>
      <c r="O57" s="64" t="str">
        <f t="shared" si="13"/>
        <v>1,316</v>
      </c>
      <c r="P57" s="18" t="str">
        <f t="shared" si="13"/>
        <v>861</v>
      </c>
      <c r="Q57" s="54" t="str">
        <f t="shared" si="13"/>
        <v>1,593</v>
      </c>
      <c r="R57" s="54" t="str">
        <f t="shared" si="13"/>
        <v>1,613</v>
      </c>
    </row>
    <row r="58" spans="2:18" ht="15" thickTop="1" x14ac:dyDescent="0.35">
      <c r="B58" s="34" t="s">
        <v>71</v>
      </c>
      <c r="C58" s="73">
        <f>C39*D$68/100</f>
        <v>1091.7360000000001</v>
      </c>
      <c r="D58" s="90">
        <f t="shared" si="16"/>
        <v>984.74400000000014</v>
      </c>
      <c r="E58" s="73">
        <f t="shared" si="17"/>
        <v>423.06299999999993</v>
      </c>
      <c r="F58" s="90">
        <f t="shared" ref="F58:F61" si="22">E39*E$71/100</f>
        <v>275.392</v>
      </c>
      <c r="G58" s="90">
        <f>F39*7177/100</f>
        <v>531.09800000000007</v>
      </c>
      <c r="H58" s="90">
        <f t="shared" si="20"/>
        <v>527.01</v>
      </c>
      <c r="I58" s="90"/>
      <c r="J58" s="90"/>
      <c r="L58" s="34" t="s">
        <v>72</v>
      </c>
      <c r="M58" s="24" t="str">
        <f t="shared" ref="M58:M62" si="23">IF(C58&lt;0,CONCATENATE("(",SUBSTITUTE(SUBSTITUTE(SUBSTITUTE(SUBSTITUTE(TEXT(C58,"#.##0"),",","*"),".",","),"*","."),"-",""),")"),IF(C58=0,"       -",SUBSTITUTE(SUBSTITUTE(SUBSTITUTE(TEXT(C58,"#.##0"),",","*"),".",","),"*",".")))</f>
        <v>1,092</v>
      </c>
      <c r="N58" s="13" t="str">
        <f t="shared" si="13"/>
        <v>985</v>
      </c>
      <c r="O58" s="24" t="str">
        <f t="shared" si="13"/>
        <v>423</v>
      </c>
      <c r="P58" s="13" t="str">
        <f t="shared" si="13"/>
        <v>275</v>
      </c>
      <c r="Q58" s="13" t="str">
        <f t="shared" si="13"/>
        <v>531</v>
      </c>
      <c r="R58" s="13" t="str">
        <f t="shared" si="13"/>
        <v>527</v>
      </c>
    </row>
    <row r="59" spans="2:18" x14ac:dyDescent="0.35">
      <c r="B59" s="34" t="s">
        <v>94</v>
      </c>
      <c r="C59" s="73">
        <f t="shared" ref="C59:C61" si="24">C40*D$68/100</f>
        <v>697.49799999999993</v>
      </c>
      <c r="D59" s="90">
        <f t="shared" si="16"/>
        <v>629.14199999999994</v>
      </c>
      <c r="E59" s="73">
        <f t="shared" si="17"/>
        <v>339.495</v>
      </c>
      <c r="F59" s="90">
        <f t="shared" si="22"/>
        <v>197.93799999999999</v>
      </c>
      <c r="G59" s="90">
        <f>F40*7177/100</f>
        <v>380.38099999999997</v>
      </c>
      <c r="H59" s="90">
        <f t="shared" si="20"/>
        <v>351.34</v>
      </c>
      <c r="I59" s="90"/>
      <c r="J59" s="90"/>
      <c r="L59" s="34" t="s">
        <v>120</v>
      </c>
      <c r="M59" s="24" t="str">
        <f t="shared" si="23"/>
        <v>697</v>
      </c>
      <c r="N59" s="13" t="str">
        <f t="shared" si="13"/>
        <v>629</v>
      </c>
      <c r="O59" s="24" t="str">
        <f t="shared" si="13"/>
        <v>339</v>
      </c>
      <c r="P59" s="13" t="str">
        <f t="shared" si="13"/>
        <v>198</v>
      </c>
      <c r="Q59" s="13" t="str">
        <f t="shared" si="13"/>
        <v>380</v>
      </c>
      <c r="R59" s="13" t="str">
        <f t="shared" si="13"/>
        <v>351</v>
      </c>
    </row>
    <row r="60" spans="2:18" x14ac:dyDescent="0.35">
      <c r="B60" s="34" t="s">
        <v>96</v>
      </c>
      <c r="C60" s="73">
        <f t="shared" si="24"/>
        <v>879.45399999999995</v>
      </c>
      <c r="D60" s="90">
        <f t="shared" si="16"/>
        <v>793.26599999999996</v>
      </c>
      <c r="E60" s="73">
        <f t="shared" si="17"/>
        <v>376.05599999999998</v>
      </c>
      <c r="F60" s="90">
        <f t="shared" si="22"/>
        <v>271.089</v>
      </c>
      <c r="G60" s="90">
        <f>F41*7177/100</f>
        <v>459.32800000000003</v>
      </c>
      <c r="H60" s="90">
        <f t="shared" si="20"/>
        <v>511.04</v>
      </c>
      <c r="I60" s="90"/>
      <c r="J60" s="90"/>
      <c r="L60" s="34" t="s">
        <v>121</v>
      </c>
      <c r="M60" s="24" t="str">
        <f t="shared" si="23"/>
        <v>879</v>
      </c>
      <c r="N60" s="13" t="str">
        <f t="shared" si="13"/>
        <v>793</v>
      </c>
      <c r="O60" s="24" t="str">
        <f t="shared" si="13"/>
        <v>376</v>
      </c>
      <c r="P60" s="13" t="str">
        <f t="shared" si="13"/>
        <v>271</v>
      </c>
      <c r="Q60" s="13" t="str">
        <f t="shared" si="13"/>
        <v>459</v>
      </c>
      <c r="R60" s="13" t="str">
        <f t="shared" si="13"/>
        <v>511</v>
      </c>
    </row>
    <row r="61" spans="2:18" ht="15" thickBot="1" x14ac:dyDescent="0.4">
      <c r="B61" s="37" t="s">
        <v>84</v>
      </c>
      <c r="C61" s="74">
        <f t="shared" si="24"/>
        <v>424.56399999999996</v>
      </c>
      <c r="D61" s="75">
        <f t="shared" si="16"/>
        <v>382.95599999999996</v>
      </c>
      <c r="E61" s="74">
        <f t="shared" si="17"/>
        <v>177.58199999999999</v>
      </c>
      <c r="F61" s="75">
        <f t="shared" si="22"/>
        <v>116.181</v>
      </c>
      <c r="G61" s="75">
        <f>F42*7177/100</f>
        <v>222.48699999999999</v>
      </c>
      <c r="H61" s="75">
        <f t="shared" si="20"/>
        <v>223.58</v>
      </c>
      <c r="I61" s="90"/>
      <c r="J61" s="90"/>
      <c r="L61" s="37" t="s">
        <v>85</v>
      </c>
      <c r="M61" s="26" t="str">
        <f t="shared" si="23"/>
        <v>425</v>
      </c>
      <c r="N61" s="27" t="str">
        <f t="shared" si="13"/>
        <v>383</v>
      </c>
      <c r="O61" s="26" t="str">
        <f t="shared" si="13"/>
        <v>178</v>
      </c>
      <c r="P61" s="27" t="str">
        <f t="shared" si="13"/>
        <v>116</v>
      </c>
      <c r="Q61" s="26" t="str">
        <f t="shared" si="13"/>
        <v>222</v>
      </c>
      <c r="R61" s="26" t="str">
        <f t="shared" si="13"/>
        <v>224</v>
      </c>
    </row>
    <row r="62" spans="2:18" ht="15.5" thickTop="1" thickBot="1" x14ac:dyDescent="0.4">
      <c r="B62" s="38" t="s">
        <v>122</v>
      </c>
      <c r="C62" s="64">
        <f t="shared" ref="C62:H62" si="25">C57+C47</f>
        <v>15163</v>
      </c>
      <c r="D62" s="54">
        <f t="shared" si="25"/>
        <v>13677.000000000002</v>
      </c>
      <c r="E62" s="64">
        <f t="shared" si="25"/>
        <v>5223</v>
      </c>
      <c r="F62" s="54">
        <f>F57+F47</f>
        <v>4749.3329999999996</v>
      </c>
      <c r="G62" s="54">
        <f>G57+G47</f>
        <v>7177</v>
      </c>
      <c r="H62" s="54">
        <f t="shared" si="25"/>
        <v>7985.0000000000009</v>
      </c>
      <c r="I62" s="99"/>
      <c r="J62" s="99"/>
      <c r="L62" s="38" t="s">
        <v>122</v>
      </c>
      <c r="M62" s="64" t="str">
        <f t="shared" si="23"/>
        <v>15,163</v>
      </c>
      <c r="N62" s="54" t="str">
        <f t="shared" si="13"/>
        <v>13,677</v>
      </c>
      <c r="O62" s="64" t="str">
        <f t="shared" si="13"/>
        <v>5,223</v>
      </c>
      <c r="P62" s="54" t="str">
        <f t="shared" si="13"/>
        <v>4,749</v>
      </c>
      <c r="Q62" s="54" t="str">
        <f t="shared" si="13"/>
        <v>7,177</v>
      </c>
      <c r="R62" s="54" t="str">
        <f t="shared" si="13"/>
        <v>7,985</v>
      </c>
    </row>
    <row r="63" spans="2:18" ht="15" thickTop="1" x14ac:dyDescent="0.35">
      <c r="H63" s="60"/>
    </row>
    <row r="65" spans="2:19" x14ac:dyDescent="0.35">
      <c r="G65" s="111"/>
    </row>
    <row r="66" spans="2:19" ht="15" thickBot="1" x14ac:dyDescent="0.4">
      <c r="B66" s="5" t="s">
        <v>287</v>
      </c>
      <c r="C66" s="5"/>
      <c r="D66" s="5"/>
      <c r="E66" s="5"/>
      <c r="F66" s="5"/>
      <c r="H66" s="5"/>
      <c r="I66" s="5"/>
      <c r="J66" s="5"/>
      <c r="K66" s="5"/>
      <c r="L66" s="5" t="s">
        <v>288</v>
      </c>
    </row>
    <row r="67" spans="2:19" ht="15.5" thickTop="1" thickBot="1" x14ac:dyDescent="0.4">
      <c r="B67" s="10" t="s">
        <v>123</v>
      </c>
      <c r="C67" s="11"/>
      <c r="D67" s="11" t="s">
        <v>124</v>
      </c>
      <c r="E67" s="11" t="s">
        <v>286</v>
      </c>
      <c r="F67" s="11" t="s">
        <v>27</v>
      </c>
      <c r="L67" s="10" t="s">
        <v>123</v>
      </c>
      <c r="M67" s="11"/>
      <c r="N67" s="11" t="s">
        <v>125</v>
      </c>
      <c r="O67" s="11" t="s">
        <v>290</v>
      </c>
      <c r="P67" s="11" t="s">
        <v>27</v>
      </c>
    </row>
    <row r="68" spans="2:19" x14ac:dyDescent="0.35">
      <c r="B68" s="22" t="s">
        <v>39</v>
      </c>
      <c r="C68" s="13"/>
      <c r="D68" s="48">
        <v>15163</v>
      </c>
      <c r="E68" s="48">
        <v>13205</v>
      </c>
      <c r="F68" s="66">
        <f>E68/D68-1</f>
        <v>-0.1291301193695179</v>
      </c>
      <c r="G68" s="109"/>
      <c r="H68" s="109"/>
      <c r="L68" s="22" t="s">
        <v>40</v>
      </c>
      <c r="M68" s="13"/>
      <c r="N68" s="48" t="str">
        <f>IF(D68&lt;0,CONCATENATE("(",SUBSTITUTE(SUBSTITUTE(SUBSTITUTE(SUBSTITUTE(TEXT(D68,"#.##0"),",","*"),".",","),"*","."),"-",""),")"),IF(D68=0,"       -",SUBSTITUTE(SUBSTITUTE(SUBSTITUTE(TEXT(D68,"#.##0"),",","*"),".",","),"*",".")))</f>
        <v>15,163</v>
      </c>
      <c r="O68" s="48" t="str">
        <f>IF(E68&lt;0,CONCATENATE("(",SUBSTITUTE(SUBSTITUTE(SUBSTITUTE(SUBSTITUTE(TEXT(E68,"#.##0"),",","*"),".",","),"*","."),"-",""),")"),IF(E68=0,"       -",SUBSTITUTE(SUBSTITUTE(SUBSTITUTE(TEXT(E68,"#.##0"),",","*"),".",","),"*",".")))</f>
        <v>13,205</v>
      </c>
      <c r="P68" s="66" t="str">
        <f>SUBSTITUTE(TEXT(F68,"0,0%"),",",".")</f>
        <v>-12.9%</v>
      </c>
    </row>
    <row r="69" spans="2:19" x14ac:dyDescent="0.35">
      <c r="B69" s="23" t="s">
        <v>41</v>
      </c>
      <c r="C69" s="13"/>
      <c r="D69" s="48">
        <v>13677</v>
      </c>
      <c r="E69" s="48">
        <v>11906</v>
      </c>
      <c r="F69" s="66">
        <f t="shared" ref="F69:F70" si="26">E69/D69-1</f>
        <v>-0.12948746070044603</v>
      </c>
      <c r="G69" s="109"/>
      <c r="H69" s="109"/>
      <c r="L69" s="23" t="s">
        <v>312</v>
      </c>
      <c r="M69" s="13"/>
      <c r="N69" s="48" t="str">
        <f t="shared" ref="N69:O72" si="27">IF(D69&lt;0,CONCATENATE("(",SUBSTITUTE(SUBSTITUTE(SUBSTITUTE(SUBSTITUTE(TEXT(D69,"#.##0"),",","*"),".",","),"*","."),"-",""),")"),IF(D69=0,"       -",SUBSTITUTE(SUBSTITUTE(SUBSTITUTE(TEXT(D69,"#.##0"),",","*"),".",","),"*",".")))</f>
        <v>13,677</v>
      </c>
      <c r="O69" s="48" t="str">
        <f t="shared" si="27"/>
        <v>11,906</v>
      </c>
      <c r="P69" s="66" t="str">
        <f>SUBSTITUTE(TEXT(F69,"0,0%"),",",".")</f>
        <v>-12.9%</v>
      </c>
    </row>
    <row r="70" spans="2:19" x14ac:dyDescent="0.35">
      <c r="B70" s="23" t="s">
        <v>14</v>
      </c>
      <c r="C70" s="13"/>
      <c r="D70" s="48">
        <v>5223</v>
      </c>
      <c r="E70" s="48">
        <v>5081</v>
      </c>
      <c r="F70" s="66">
        <f t="shared" si="26"/>
        <v>-2.718744016848551E-2</v>
      </c>
      <c r="G70" s="109"/>
      <c r="H70" s="109"/>
      <c r="L70" s="23" t="s">
        <v>15</v>
      </c>
      <c r="M70" s="13"/>
      <c r="N70" s="48" t="str">
        <f t="shared" si="27"/>
        <v>5,223</v>
      </c>
      <c r="O70" s="48" t="str">
        <f t="shared" si="27"/>
        <v>5,081</v>
      </c>
      <c r="P70" s="66" t="str">
        <f t="shared" ref="P70:P72" si="28">SUBSTITUTE(TEXT(F70,"0,0%"),",",".")</f>
        <v>-2.7%</v>
      </c>
    </row>
    <row r="71" spans="2:19" ht="15" thickBot="1" x14ac:dyDescent="0.4">
      <c r="B71" s="16" t="s">
        <v>16</v>
      </c>
      <c r="C71" s="15"/>
      <c r="D71" s="50">
        <v>4867</v>
      </c>
      <c r="E71" s="50">
        <v>4303</v>
      </c>
      <c r="F71" s="67">
        <f>E71/D71-1</f>
        <v>-0.11588247380316419</v>
      </c>
      <c r="G71" s="109"/>
      <c r="H71" s="109"/>
      <c r="L71" s="16" t="s">
        <v>43</v>
      </c>
      <c r="M71" s="15"/>
      <c r="N71" s="50" t="str">
        <f t="shared" si="27"/>
        <v>4,867</v>
      </c>
      <c r="O71" s="50" t="str">
        <f t="shared" si="27"/>
        <v>4,303</v>
      </c>
      <c r="P71" s="67" t="str">
        <f t="shared" si="28"/>
        <v>-11.6%</v>
      </c>
    </row>
    <row r="72" spans="2:19" ht="15" thickBot="1" x14ac:dyDescent="0.4">
      <c r="B72" s="17" t="s">
        <v>126</v>
      </c>
      <c r="C72" s="18"/>
      <c r="D72" s="18" t="s">
        <v>284</v>
      </c>
      <c r="E72" s="18" t="s">
        <v>285</v>
      </c>
      <c r="F72" s="68">
        <f>7177/7985-1</f>
        <v>-0.10118973074514714</v>
      </c>
      <c r="G72" s="109"/>
      <c r="H72" s="109"/>
      <c r="L72" s="17" t="s">
        <v>127</v>
      </c>
      <c r="M72" s="18"/>
      <c r="N72" s="18" t="str">
        <f t="shared" si="27"/>
        <v>7,985(2)</v>
      </c>
      <c r="O72" s="18" t="str">
        <f t="shared" si="27"/>
        <v>7,177(2)</v>
      </c>
      <c r="P72" s="68" t="str">
        <f t="shared" si="28"/>
        <v>-10.1%</v>
      </c>
    </row>
    <row r="73" spans="2:19" ht="15" thickTop="1" x14ac:dyDescent="0.35">
      <c r="B73" s="161" t="s">
        <v>291</v>
      </c>
      <c r="C73" s="161"/>
      <c r="D73" s="161"/>
      <c r="E73" s="161"/>
      <c r="F73" s="161"/>
      <c r="I73" s="109"/>
      <c r="L73" s="161" t="s">
        <v>292</v>
      </c>
      <c r="M73" s="161"/>
      <c r="N73" s="161"/>
      <c r="O73" s="161"/>
      <c r="P73" s="161"/>
    </row>
    <row r="74" spans="2:19" x14ac:dyDescent="0.35">
      <c r="B74" s="161" t="s">
        <v>283</v>
      </c>
      <c r="C74" s="161"/>
      <c r="D74" s="161"/>
      <c r="E74" s="161"/>
      <c r="F74" s="161"/>
      <c r="L74" s="161" t="s">
        <v>289</v>
      </c>
      <c r="M74" s="161"/>
      <c r="N74" s="161"/>
      <c r="O74" s="161"/>
      <c r="P74" s="161"/>
    </row>
    <row r="75" spans="2:19" x14ac:dyDescent="0.35">
      <c r="B75" s="93"/>
      <c r="C75" s="93"/>
      <c r="D75" s="93"/>
      <c r="E75" s="93"/>
      <c r="F75" s="93"/>
      <c r="L75" s="6"/>
    </row>
    <row r="76" spans="2:19" ht="15" thickBot="1" x14ac:dyDescent="0.4">
      <c r="B76" s="5" t="s">
        <v>294</v>
      </c>
      <c r="C76" s="93"/>
      <c r="D76" s="93"/>
      <c r="E76" s="93"/>
      <c r="F76" s="93"/>
      <c r="L76" s="5" t="s">
        <v>293</v>
      </c>
    </row>
    <row r="77" spans="2:19" ht="23.5" thickTop="1" x14ac:dyDescent="0.35">
      <c r="B77" s="151"/>
      <c r="C77" s="122" t="s">
        <v>128</v>
      </c>
      <c r="D77" s="122" t="s">
        <v>214</v>
      </c>
      <c r="E77" s="122" t="s">
        <v>129</v>
      </c>
      <c r="F77" s="122" t="s">
        <v>128</v>
      </c>
      <c r="G77" s="122" t="s">
        <v>214</v>
      </c>
      <c r="H77" s="122" t="s">
        <v>129</v>
      </c>
      <c r="I77" s="56" t="s">
        <v>27</v>
      </c>
      <c r="L77" s="151"/>
      <c r="M77" s="56" t="s">
        <v>207</v>
      </c>
      <c r="N77" s="56" t="s">
        <v>131</v>
      </c>
      <c r="O77" s="56" t="s">
        <v>132</v>
      </c>
      <c r="P77" s="56" t="s">
        <v>207</v>
      </c>
      <c r="Q77" s="56" t="s">
        <v>131</v>
      </c>
      <c r="R77" s="56" t="s">
        <v>132</v>
      </c>
      <c r="S77" s="56" t="s">
        <v>27</v>
      </c>
    </row>
    <row r="78" spans="2:19" ht="23" x14ac:dyDescent="0.35">
      <c r="B78" s="152"/>
      <c r="C78" s="121" t="s">
        <v>213</v>
      </c>
      <c r="D78" s="121" t="s">
        <v>215</v>
      </c>
      <c r="E78" s="121" t="s">
        <v>136</v>
      </c>
      <c r="F78" s="121" t="s">
        <v>213</v>
      </c>
      <c r="G78" s="121" t="s">
        <v>215</v>
      </c>
      <c r="H78" s="121" t="s">
        <v>32</v>
      </c>
      <c r="I78" s="95" t="s">
        <v>137</v>
      </c>
      <c r="L78" s="152"/>
      <c r="M78" s="95" t="s">
        <v>9</v>
      </c>
      <c r="N78" s="95" t="s">
        <v>9</v>
      </c>
      <c r="O78" s="95" t="s">
        <v>138</v>
      </c>
      <c r="P78" s="95" t="s">
        <v>188</v>
      </c>
      <c r="Q78" s="95" t="s">
        <v>188</v>
      </c>
      <c r="R78" s="95" t="s">
        <v>139</v>
      </c>
      <c r="S78" s="95" t="s">
        <v>137</v>
      </c>
    </row>
    <row r="79" spans="2:19" x14ac:dyDescent="0.35">
      <c r="B79" s="152"/>
      <c r="C79" s="121" t="s">
        <v>9</v>
      </c>
      <c r="D79" s="121" t="s">
        <v>9</v>
      </c>
      <c r="E79" s="121" t="s">
        <v>216</v>
      </c>
      <c r="F79" s="121" t="s">
        <v>188</v>
      </c>
      <c r="G79" s="121" t="s">
        <v>188</v>
      </c>
      <c r="H79" s="121" t="s">
        <v>216</v>
      </c>
      <c r="I79" s="94"/>
      <c r="L79" s="152"/>
      <c r="M79" s="94"/>
      <c r="N79" s="94"/>
      <c r="O79" s="95" t="s">
        <v>9</v>
      </c>
      <c r="P79" s="94"/>
      <c r="Q79" s="94"/>
      <c r="R79" s="95" t="s">
        <v>188</v>
      </c>
      <c r="S79" s="94"/>
    </row>
    <row r="80" spans="2:19" ht="15" thickBot="1" x14ac:dyDescent="0.4">
      <c r="B80" s="153"/>
      <c r="C80" s="96"/>
      <c r="D80" s="96"/>
      <c r="E80" s="123" t="s">
        <v>9</v>
      </c>
      <c r="F80" s="96"/>
      <c r="G80" s="96"/>
      <c r="H80" s="123" t="s">
        <v>188</v>
      </c>
      <c r="I80" s="96"/>
      <c r="L80" s="153"/>
      <c r="M80" s="96"/>
      <c r="N80" s="96"/>
      <c r="O80" s="96"/>
      <c r="P80" s="96"/>
      <c r="Q80" s="96"/>
      <c r="R80" s="96"/>
      <c r="S80" s="96"/>
    </row>
    <row r="81" spans="2:19" x14ac:dyDescent="0.35">
      <c r="B81" s="22" t="s">
        <v>39</v>
      </c>
      <c r="C81" s="124">
        <f>'Operacoes 22.23'!C79</f>
        <v>1927</v>
      </c>
      <c r="D81" s="124">
        <f>'Operacoes 22.23'!D79</f>
        <v>15163</v>
      </c>
      <c r="E81" s="126">
        <f>'Operacoes 22.23'!E79</f>
        <v>7.8687078360145302</v>
      </c>
      <c r="F81" s="124">
        <f>D19</f>
        <v>2020</v>
      </c>
      <c r="G81" s="124">
        <f>E68</f>
        <v>13205</v>
      </c>
      <c r="H81" s="126">
        <f>G81/F81</f>
        <v>6.5371287128712874</v>
      </c>
      <c r="I81" s="103">
        <f>H81/E81-1</f>
        <v>-0.16922462377478265</v>
      </c>
      <c r="L81" s="22" t="s">
        <v>40</v>
      </c>
      <c r="M81" s="48" t="str">
        <f t="shared" ref="M81:N84" si="29">IF(C81&lt;0,CONCATENATE("(",SUBSTITUTE(SUBSTITUTE(SUBSTITUTE(SUBSTITUTE(TEXT(C81,"#.##0"),",","*"),".",","),"*","."),"-",""),")"),IF(C81=0,"       -",SUBSTITUTE(SUBSTITUTE(SUBSTITUTE(TEXT(C81,"#.##0"),",","*"),".",","),"*",".")))</f>
        <v>1,927</v>
      </c>
      <c r="N81" s="48" t="str">
        <f t="shared" si="29"/>
        <v>15,163</v>
      </c>
      <c r="O81" s="128">
        <f>E81</f>
        <v>7.8687078360145302</v>
      </c>
      <c r="P81" s="48" t="str">
        <f t="shared" ref="P81:Q84" si="30">IF(F81&lt;0,CONCATENATE("(",SUBSTITUTE(SUBSTITUTE(SUBSTITUTE(SUBSTITUTE(TEXT(F81,"#.##0"),",","*"),".",","),"*","."),"-",""),")"),IF(F81=0,"       -",SUBSTITUTE(SUBSTITUTE(SUBSTITUTE(TEXT(F81,"#.##0"),",","*"),".",","),"*",".")))</f>
        <v>2,020</v>
      </c>
      <c r="Q81" s="48" t="str">
        <f t="shared" si="30"/>
        <v>13,205</v>
      </c>
      <c r="R81" s="128">
        <f>H81</f>
        <v>6.5371287128712874</v>
      </c>
      <c r="S81" s="103">
        <f>R81/O81-1</f>
        <v>-0.16922462377478265</v>
      </c>
    </row>
    <row r="82" spans="2:19" x14ac:dyDescent="0.35">
      <c r="B82" s="23" t="s">
        <v>41</v>
      </c>
      <c r="C82" s="124">
        <f>'Operacoes 22.23'!C80</f>
        <v>1839</v>
      </c>
      <c r="D82" s="124">
        <f>'Operacoes 22.23'!D80</f>
        <v>13677</v>
      </c>
      <c r="E82" s="126">
        <f>'Operacoes 22.23'!E80</f>
        <v>7.4371941272430666</v>
      </c>
      <c r="F82" s="124">
        <f>D20</f>
        <v>1869</v>
      </c>
      <c r="G82" s="124">
        <f>E69</f>
        <v>11906</v>
      </c>
      <c r="H82" s="126">
        <f>G82/F82</f>
        <v>6.3702514713750666</v>
      </c>
      <c r="I82" s="105">
        <f>H82/E82-1</f>
        <v>-0.14346037465388994</v>
      </c>
      <c r="L82" s="23" t="s">
        <v>312</v>
      </c>
      <c r="M82" s="48" t="str">
        <f t="shared" si="29"/>
        <v>1,839</v>
      </c>
      <c r="N82" s="48" t="str">
        <f t="shared" si="29"/>
        <v>13,677</v>
      </c>
      <c r="O82" s="128">
        <f>E82</f>
        <v>7.4371941272430666</v>
      </c>
      <c r="P82" s="48" t="str">
        <f t="shared" si="30"/>
        <v>1,869</v>
      </c>
      <c r="Q82" s="48" t="str">
        <f t="shared" si="30"/>
        <v>11,906</v>
      </c>
      <c r="R82" s="128">
        <f>H82</f>
        <v>6.3702514713750666</v>
      </c>
      <c r="S82" s="105">
        <f>R82/O82-1</f>
        <v>-0.14346037465388994</v>
      </c>
    </row>
    <row r="83" spans="2:19" x14ac:dyDescent="0.35">
      <c r="B83" s="97" t="s">
        <v>141</v>
      </c>
      <c r="C83" s="124">
        <f>'Operacoes 22.23'!C81</f>
        <v>3918</v>
      </c>
      <c r="D83" s="124">
        <f>'Operacoes 22.23'!D81</f>
        <v>5377</v>
      </c>
      <c r="E83" s="126">
        <f>'Operacoes 22.23'!E81</f>
        <v>1.3723838693210821</v>
      </c>
      <c r="F83" s="124">
        <f>D22</f>
        <v>3948</v>
      </c>
      <c r="G83" s="124">
        <f>E70</f>
        <v>5081</v>
      </c>
      <c r="H83" s="126">
        <f>G83/F83</f>
        <v>1.2869807497467072</v>
      </c>
      <c r="I83" s="105">
        <f>H83/E83-1</f>
        <v>-6.2229760552799163E-2</v>
      </c>
      <c r="L83" s="23" t="s">
        <v>142</v>
      </c>
      <c r="M83" s="48" t="str">
        <f t="shared" si="29"/>
        <v>3,918</v>
      </c>
      <c r="N83" s="48" t="str">
        <f t="shared" si="29"/>
        <v>5,377</v>
      </c>
      <c r="O83" s="128">
        <f>E83</f>
        <v>1.3723838693210821</v>
      </c>
      <c r="P83" s="48" t="str">
        <f t="shared" si="30"/>
        <v>3,948</v>
      </c>
      <c r="Q83" s="48" t="str">
        <f t="shared" si="30"/>
        <v>5,081</v>
      </c>
      <c r="R83" s="128">
        <f>H83</f>
        <v>1.2869807497467072</v>
      </c>
      <c r="S83" s="105">
        <f>R83/O83-1</f>
        <v>-6.2229760552799163E-2</v>
      </c>
    </row>
    <row r="84" spans="2:19" ht="15" thickBot="1" x14ac:dyDescent="0.4">
      <c r="B84" s="98" t="s">
        <v>16</v>
      </c>
      <c r="C84" s="125">
        <f>'Operacoes 22.23'!C82</f>
        <v>7685</v>
      </c>
      <c r="D84" s="125">
        <f>'Operacoes 22.23'!D82</f>
        <v>4867</v>
      </c>
      <c r="E84" s="127">
        <f>'Operacoes 22.23'!E82</f>
        <v>0.63331164606376056</v>
      </c>
      <c r="F84" s="125">
        <f>D23</f>
        <v>7580</v>
      </c>
      <c r="G84" s="125">
        <f>E71</f>
        <v>4303</v>
      </c>
      <c r="H84" s="127">
        <f>G84/F84</f>
        <v>0.56767810026385224</v>
      </c>
      <c r="I84" s="107">
        <f>H84/E84-1</f>
        <v>-0.10363546321600481</v>
      </c>
      <c r="L84" s="25" t="s">
        <v>43</v>
      </c>
      <c r="M84" s="62" t="str">
        <f t="shared" si="29"/>
        <v>7,685</v>
      </c>
      <c r="N84" s="62" t="str">
        <f t="shared" si="29"/>
        <v>4,867</v>
      </c>
      <c r="O84" s="129">
        <f>E84</f>
        <v>0.63331164606376056</v>
      </c>
      <c r="P84" s="62" t="str">
        <f t="shared" si="30"/>
        <v>7,580</v>
      </c>
      <c r="Q84" s="62" t="str">
        <f t="shared" si="30"/>
        <v>4,303</v>
      </c>
      <c r="R84" s="129">
        <f>H84</f>
        <v>0.56767810026385224</v>
      </c>
      <c r="S84" s="107">
        <f>R84/O84-1</f>
        <v>-0.10363546321600481</v>
      </c>
    </row>
    <row r="85" spans="2:19" ht="23.5" thickTop="1" x14ac:dyDescent="0.35">
      <c r="B85" s="101" t="s">
        <v>143</v>
      </c>
      <c r="L85" s="23" t="s">
        <v>144</v>
      </c>
      <c r="M85" s="13"/>
      <c r="N85" s="13"/>
      <c r="O85" s="95"/>
      <c r="P85" s="13"/>
      <c r="Q85" s="13"/>
      <c r="R85" s="95"/>
      <c r="S85" s="13"/>
    </row>
    <row r="86" spans="2:19" ht="14.15" customHeight="1" x14ac:dyDescent="0.35"/>
    <row r="87" spans="2:19" x14ac:dyDescent="0.35">
      <c r="B87" s="5" t="s">
        <v>145</v>
      </c>
      <c r="L87" s="5" t="s">
        <v>146</v>
      </c>
    </row>
    <row r="88" spans="2:19" ht="15" thickBot="1" x14ac:dyDescent="0.4">
      <c r="B88" s="39" t="s">
        <v>147</v>
      </c>
      <c r="C88" s="40" t="s">
        <v>148</v>
      </c>
      <c r="D88" s="40">
        <v>2022</v>
      </c>
      <c r="E88" s="40" t="s">
        <v>219</v>
      </c>
      <c r="F88" s="41" t="s">
        <v>217</v>
      </c>
      <c r="L88" s="39" t="s">
        <v>147</v>
      </c>
      <c r="M88" s="40" t="s">
        <v>148</v>
      </c>
      <c r="N88" s="40">
        <v>2022</v>
      </c>
      <c r="O88" s="40" t="s">
        <v>220</v>
      </c>
      <c r="P88" s="41" t="s">
        <v>221</v>
      </c>
    </row>
    <row r="89" spans="2:19" ht="15.5" thickTop="1" thickBot="1" x14ac:dyDescent="0.4">
      <c r="B89" s="42" t="s">
        <v>149</v>
      </c>
      <c r="C89" s="8" t="s">
        <v>150</v>
      </c>
      <c r="D89" s="8" t="s">
        <v>151</v>
      </c>
      <c r="E89" s="8">
        <v>1194</v>
      </c>
      <c r="F89" s="76">
        <f>SUM(F90:F94)</f>
        <v>1192</v>
      </c>
      <c r="L89" s="42" t="s">
        <v>152</v>
      </c>
      <c r="M89" s="8" t="str">
        <f>IF(C89&lt;0,CONCATENATE("(",SUBSTITUTE(SUBSTITUTE(SUBSTITUTE(SUBSTITUTE(TEXT(C89,"#.##0"),",","*"),".",","),"*","."),"-",""),")"),IF(C89=0,"       -",SUBSTITUTE(SUBSTITUTE(SUBSTITUTE(TEXT(C89,"#.##0"),",","*"),".",","),"*",".")))</f>
        <v>1,173 </v>
      </c>
      <c r="N89" s="8" t="str">
        <f t="shared" ref="N89:P94" si="31">IF(D89&lt;0,CONCATENATE("(",SUBSTITUTE(SUBSTITUTE(SUBSTITUTE(SUBSTITUTE(TEXT(D89,"#.##0"),",","*"),".",","),"*","."),"-",""),")"),IF(D89=0,"       -",SUBSTITUTE(SUBSTITUTE(SUBSTITUTE(TEXT(D89,"#.##0"),",","*"),".",","),"*",".")))</f>
        <v>1,195 </v>
      </c>
      <c r="O89" s="8" t="str">
        <f t="shared" si="31"/>
        <v>1,194</v>
      </c>
      <c r="P89" s="76" t="str">
        <f t="shared" si="31"/>
        <v>1,192</v>
      </c>
    </row>
    <row r="90" spans="2:19" x14ac:dyDescent="0.35">
      <c r="B90" s="43" t="s">
        <v>153</v>
      </c>
      <c r="C90" s="13" t="s">
        <v>154</v>
      </c>
      <c r="D90" s="13" t="s">
        <v>155</v>
      </c>
      <c r="E90" s="13">
        <v>330</v>
      </c>
      <c r="F90" s="77">
        <v>329</v>
      </c>
      <c r="L90" s="43" t="s">
        <v>156</v>
      </c>
      <c r="M90" s="13" t="str">
        <f t="shared" ref="M90:M94" si="32">IF(C90&lt;0,CONCATENATE("(",SUBSTITUTE(SUBSTITUTE(SUBSTITUTE(SUBSTITUTE(TEXT(C90,"#.##0"),",","*"),".",","),"*","."),"-",""),")"),IF(C90=0,"       -",SUBSTITUTE(SUBSTITUTE(SUBSTITUTE(TEXT(C90,"#.##0"),",","*"),".",","),"*",".")))</f>
        <v>350 </v>
      </c>
      <c r="N90" s="13" t="str">
        <f t="shared" si="31"/>
        <v>338 </v>
      </c>
      <c r="O90" s="13" t="str">
        <f>IF(E90&lt;0,CONCATENATE("(",SUBSTITUTE(SUBSTITUTE(SUBSTITUTE(SUBSTITUTE(TEXT(E90,"#.##0"),",","*"),".",","),"*","."),"-",""),")"),IF(E90=0,"       -",SUBSTITUTE(SUBSTITUTE(SUBSTITUTE(TEXT(E90,"#.##0"),",","*"),".",","),"*",".")))</f>
        <v>330</v>
      </c>
      <c r="P90" s="77" t="str">
        <f t="shared" si="31"/>
        <v>329</v>
      </c>
    </row>
    <row r="91" spans="2:19" x14ac:dyDescent="0.35">
      <c r="B91" s="43" t="s">
        <v>157</v>
      </c>
      <c r="C91" s="13" t="s">
        <v>158</v>
      </c>
      <c r="D91" s="13" t="s">
        <v>159</v>
      </c>
      <c r="E91" s="13">
        <v>258</v>
      </c>
      <c r="F91" s="77">
        <v>258</v>
      </c>
      <c r="L91" s="43" t="s">
        <v>160</v>
      </c>
      <c r="M91" s="13" t="str">
        <f t="shared" si="32"/>
        <v>217 </v>
      </c>
      <c r="N91" s="13" t="str">
        <f t="shared" si="31"/>
        <v>254 </v>
      </c>
      <c r="O91" s="13" t="str">
        <f t="shared" si="31"/>
        <v>258</v>
      </c>
      <c r="P91" s="77" t="str">
        <f t="shared" si="31"/>
        <v>258</v>
      </c>
    </row>
    <row r="92" spans="2:19" x14ac:dyDescent="0.35">
      <c r="B92" s="43" t="s">
        <v>161</v>
      </c>
      <c r="C92" s="13" t="s">
        <v>162</v>
      </c>
      <c r="D92" s="13" t="s">
        <v>163</v>
      </c>
      <c r="E92" s="13">
        <v>126</v>
      </c>
      <c r="F92" s="77">
        <v>126</v>
      </c>
      <c r="L92" s="43" t="s">
        <v>164</v>
      </c>
      <c r="M92" s="13" t="str">
        <f t="shared" si="32"/>
        <v>103 </v>
      </c>
      <c r="N92" s="13" t="str">
        <f t="shared" si="31"/>
        <v>127 </v>
      </c>
      <c r="O92" s="13" t="str">
        <f t="shared" si="31"/>
        <v>126</v>
      </c>
      <c r="P92" s="77" t="str">
        <f t="shared" si="31"/>
        <v>126</v>
      </c>
    </row>
    <row r="93" spans="2:19" x14ac:dyDescent="0.35">
      <c r="B93" s="43" t="s">
        <v>165</v>
      </c>
      <c r="C93" s="13" t="s">
        <v>166</v>
      </c>
      <c r="D93" s="13" t="s">
        <v>167</v>
      </c>
      <c r="E93" s="13">
        <v>273</v>
      </c>
      <c r="F93" s="77">
        <v>272</v>
      </c>
      <c r="L93" s="43" t="s">
        <v>168</v>
      </c>
      <c r="M93" s="13" t="str">
        <f t="shared" si="32"/>
        <v>297 </v>
      </c>
      <c r="N93" s="13" t="str">
        <f t="shared" si="31"/>
        <v>276 </v>
      </c>
      <c r="O93" s="13" t="str">
        <f t="shared" si="31"/>
        <v>273</v>
      </c>
      <c r="P93" s="77" t="str">
        <f t="shared" si="31"/>
        <v>272</v>
      </c>
    </row>
    <row r="94" spans="2:19" ht="15" thickBot="1" x14ac:dyDescent="0.4">
      <c r="B94" s="44" t="s">
        <v>169</v>
      </c>
      <c r="C94" s="15" t="s">
        <v>170</v>
      </c>
      <c r="D94" s="15" t="s">
        <v>171</v>
      </c>
      <c r="E94" s="15">
        <v>207</v>
      </c>
      <c r="F94" s="78">
        <v>207</v>
      </c>
      <c r="L94" s="44" t="s">
        <v>172</v>
      </c>
      <c r="M94" s="15" t="str">
        <f t="shared" si="32"/>
        <v>206 </v>
      </c>
      <c r="N94" s="15" t="str">
        <f t="shared" si="31"/>
        <v>200 </v>
      </c>
      <c r="O94" s="15" t="str">
        <f t="shared" si="31"/>
        <v>207</v>
      </c>
      <c r="P94" s="78" t="str">
        <f t="shared" si="31"/>
        <v>207</v>
      </c>
    </row>
    <row r="95" spans="2:19" ht="23.5" thickBot="1" x14ac:dyDescent="0.4">
      <c r="B95" s="42" t="s">
        <v>173</v>
      </c>
      <c r="C95" s="79" t="s">
        <v>147</v>
      </c>
      <c r="D95" s="79" t="s">
        <v>147</v>
      </c>
      <c r="E95" s="79"/>
      <c r="F95" s="80"/>
      <c r="L95" s="42" t="s">
        <v>174</v>
      </c>
      <c r="M95" s="79" t="s">
        <v>147</v>
      </c>
      <c r="N95" s="79" t="s">
        <v>147</v>
      </c>
      <c r="O95" s="79" t="s">
        <v>147</v>
      </c>
      <c r="P95" s="80"/>
    </row>
    <row r="96" spans="2:19" x14ac:dyDescent="0.35">
      <c r="B96" s="43" t="s">
        <v>175</v>
      </c>
      <c r="C96" s="13" t="s">
        <v>176</v>
      </c>
      <c r="D96" s="13" t="s">
        <v>176</v>
      </c>
      <c r="E96" s="48">
        <v>1058220</v>
      </c>
      <c r="F96" s="110">
        <v>1028220</v>
      </c>
      <c r="L96" s="43" t="s">
        <v>177</v>
      </c>
      <c r="M96" s="13" t="str">
        <f t="shared" ref="M96:O96" si="33">IF(C96&lt;0,CONCATENATE("(",SUBSTITUTE(SUBSTITUTE(SUBSTITUTE(SUBSTITUTE(TEXT(C96,"#.##0"),",","*"),".",","),"*","."),"-",""),")"),IF(C96=0,"       -",SUBSTITUTE(SUBSTITUTE(SUBSTITUTE(TEXT(C96,"#.##0"),",","*"),".",","),"*",".")))</f>
        <v>1,054,920 </v>
      </c>
      <c r="N96" s="13" t="str">
        <f t="shared" si="33"/>
        <v>1,054,920 </v>
      </c>
      <c r="O96" s="13" t="str">
        <f t="shared" si="33"/>
        <v>1,058,220</v>
      </c>
      <c r="P96" s="77" t="str">
        <f>IF(F96&lt;0,CONCATENATE("(",SUBSTITUTE(SUBSTITUTE(SUBSTITUTE(SUBSTITUTE(TEXT(F96,"#.##0"),",","*"),".",","),"*","."),"-",""),")"),IF(F96=0,"       -",SUBSTITUTE(SUBSTITUTE(SUBSTITUTE(TEXT(F96,"#.##0"),",","*"),".",","),"*",".")))</f>
        <v>1,028,220</v>
      </c>
    </row>
    <row r="97" spans="2:16" ht="15" thickBot="1" x14ac:dyDescent="0.4">
      <c r="B97" s="44" t="s">
        <v>178</v>
      </c>
      <c r="C97" s="15" t="s">
        <v>179</v>
      </c>
      <c r="D97" s="81">
        <v>0.43</v>
      </c>
      <c r="E97" s="82">
        <v>0.5</v>
      </c>
      <c r="F97" s="83">
        <v>0.56000000000000005</v>
      </c>
      <c r="L97" s="44" t="s">
        <v>180</v>
      </c>
      <c r="M97" s="15" t="str">
        <f t="shared" ref="M97:O97" si="34">SUBSTITUTE(TEXT(C97,"0,0%"),",",".")</f>
        <v>61% </v>
      </c>
      <c r="N97" s="15" t="str">
        <f t="shared" si="34"/>
        <v>43.0%</v>
      </c>
      <c r="O97" s="15" t="str">
        <f t="shared" si="34"/>
        <v>50.0%</v>
      </c>
      <c r="P97" s="83" t="str">
        <f>SUBSTITUTE(TEXT(F97,"0,0%"),",",".")</f>
        <v>56.0%</v>
      </c>
    </row>
    <row r="98" spans="2:16" x14ac:dyDescent="0.35">
      <c r="B98" s="43" t="s">
        <v>181</v>
      </c>
      <c r="C98" s="13" t="s">
        <v>182</v>
      </c>
      <c r="D98" s="13" t="s">
        <v>182</v>
      </c>
      <c r="E98" s="13" t="s">
        <v>182</v>
      </c>
      <c r="F98" s="77" t="s">
        <v>182</v>
      </c>
      <c r="L98" s="43" t="s">
        <v>183</v>
      </c>
      <c r="M98" s="13" t="str">
        <f t="shared" ref="M98:O98" si="35">IF(C98&lt;0,CONCATENATE("(",SUBSTITUTE(SUBSTITUTE(SUBSTITUTE(SUBSTITUTE(TEXT(C98,"#.##0"),",","*"),".",","),"*","."),"-",""),")"),IF(C98=0,"       -",SUBSTITUTE(SUBSTITUTE(SUBSTITUTE(TEXT(C98,"#.##0"),",","*"),".",","),"*",".")))</f>
        <v>190,447 </v>
      </c>
      <c r="N98" s="13" t="str">
        <f t="shared" si="35"/>
        <v>190,447 </v>
      </c>
      <c r="O98" s="13" t="str">
        <f t="shared" si="35"/>
        <v>190,447 </v>
      </c>
      <c r="P98" s="77" t="str">
        <f>IF(F98&lt;0,CONCATENATE("(",SUBSTITUTE(SUBSTITUTE(SUBSTITUTE(SUBSTITUTE(TEXT(F98,"#.##0"),",","*"),".",","),"*","."),"-",""),")"),IF(F98=0,"       -",SUBSTITUTE(SUBSTITUTE(SUBSTITUTE(TEXT(F98,"#.##0"),",","*"),".",","),"*",".")))</f>
        <v>190,447 </v>
      </c>
    </row>
    <row r="99" spans="2:16" x14ac:dyDescent="0.35">
      <c r="B99" s="45" t="s">
        <v>178</v>
      </c>
      <c r="C99" s="84" t="s">
        <v>184</v>
      </c>
      <c r="D99" s="85">
        <v>0.62</v>
      </c>
      <c r="E99" s="86">
        <v>0.53</v>
      </c>
      <c r="F99" s="87">
        <v>0.52</v>
      </c>
      <c r="L99" s="45" t="s">
        <v>180</v>
      </c>
      <c r="M99" s="84" t="str">
        <f t="shared" ref="M99:O99" si="36">SUBSTITUTE(TEXT(C99,"0,0%"),",",".")</f>
        <v>72% </v>
      </c>
      <c r="N99" s="84" t="str">
        <f t="shared" si="36"/>
        <v>62.0%</v>
      </c>
      <c r="O99" s="84" t="str">
        <f t="shared" si="36"/>
        <v>53.0%</v>
      </c>
      <c r="P99" s="87" t="str">
        <f>SUBSTITUTE(TEXT(F99,"0,0%"),",",".")</f>
        <v>52.0%</v>
      </c>
    </row>
    <row r="100" spans="2:16" x14ac:dyDescent="0.35">
      <c r="B100" s="7" t="s">
        <v>218</v>
      </c>
      <c r="L100" s="7" t="s">
        <v>222</v>
      </c>
    </row>
  </sheetData>
  <mergeCells count="20">
    <mergeCell ref="B77:B80"/>
    <mergeCell ref="L77:L80"/>
    <mergeCell ref="B45:B46"/>
    <mergeCell ref="E45:E46"/>
    <mergeCell ref="L45:L46"/>
    <mergeCell ref="B74:F74"/>
    <mergeCell ref="L74:P74"/>
    <mergeCell ref="B73:F73"/>
    <mergeCell ref="L73:P73"/>
    <mergeCell ref="M5:O5"/>
    <mergeCell ref="B3:B5"/>
    <mergeCell ref="L3:L5"/>
    <mergeCell ref="C5:E5"/>
    <mergeCell ref="O45:O46"/>
    <mergeCell ref="B13:F13"/>
    <mergeCell ref="L13:P13"/>
    <mergeCell ref="B14:F14"/>
    <mergeCell ref="L14:P14"/>
    <mergeCell ref="B17:B18"/>
    <mergeCell ref="L17:L18"/>
  </mergeCells>
  <pageMargins left="0.511811024" right="0.511811024" top="0.78740157499999996" bottom="0.78740157499999996" header="0.31496062000000002" footer="0.31496062000000002"/>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99e0e0-a7ff-498c-a891-888aae3c0d40" xsi:nil="true"/>
    <lcf76f155ced4ddcb4097134ff3c332f xmlns="29dfc1a8-b777-4321-a74f-89631314159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8E004AB5DACC946B9DF68C3C2C54DFD" ma:contentTypeVersion="18" ma:contentTypeDescription="Create a new document." ma:contentTypeScope="" ma:versionID="76d236ca033ceb7f1310f6413985f91c">
  <xsd:schema xmlns:xsd="http://www.w3.org/2001/XMLSchema" xmlns:xs="http://www.w3.org/2001/XMLSchema" xmlns:p="http://schemas.microsoft.com/office/2006/metadata/properties" xmlns:ns2="29dfc1a8-b777-4321-a74f-896313141591" xmlns:ns3="4c99e0e0-a7ff-498c-a891-888aae3c0d40" targetNamespace="http://schemas.microsoft.com/office/2006/metadata/properties" ma:root="true" ma:fieldsID="782c4fd64212bfa5af3929d0f10a9d35" ns2:_="" ns3:_="">
    <xsd:import namespace="29dfc1a8-b777-4321-a74f-896313141591"/>
    <xsd:import namespace="4c99e0e0-a7ff-498c-a891-888aae3c0d4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dfc1a8-b777-4321-a74f-8963131415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db3cea5-0ee3-4113-b3a4-755b0456c0a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99e0e0-a7ff-498c-a891-888aae3c0d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4696b19-8f9b-4b7e-8fd3-f648f8e0756d}" ma:internalName="TaxCatchAll" ma:showField="CatchAllData" ma:web="4c99e0e0-a7ff-498c-a891-888aae3c0d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78A20F-6E83-4D17-B80C-35B5A252A308}">
  <ds:schemaRefs>
    <ds:schemaRef ds:uri="http://schemas.microsoft.com/sharepoint/v3/contenttype/forms"/>
  </ds:schemaRefs>
</ds:datastoreItem>
</file>

<file path=customXml/itemProps2.xml><?xml version="1.0" encoding="utf-8"?>
<ds:datastoreItem xmlns:ds="http://schemas.openxmlformats.org/officeDocument/2006/customXml" ds:itemID="{3F4F7B31-55D8-4326-9AF8-3D1E9D2E302F}">
  <ds:schemaRefs>
    <ds:schemaRef ds:uri="http://purl.org/dc/terms/"/>
    <ds:schemaRef ds:uri="4c99e0e0-a7ff-498c-a891-888aae3c0d40"/>
    <ds:schemaRef ds:uri="http://schemas.openxmlformats.org/package/2006/metadata/core-properties"/>
    <ds:schemaRef ds:uri="http://www.w3.org/XML/1998/namespace"/>
    <ds:schemaRef ds:uri="29dfc1a8-b777-4321-a74f-896313141591"/>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193D01B0-BF7D-4E1F-A06F-762BC2CC67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dfc1a8-b777-4321-a74f-896313141591"/>
    <ds:schemaRef ds:uri="4c99e0e0-a7ff-498c-a891-888aae3c0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4</vt:i4>
      </vt:variant>
    </vt:vector>
  </HeadingPairs>
  <TitlesOfParts>
    <vt:vector size="6" baseType="lpstr">
      <vt:lpstr>Operacoes 22.23</vt:lpstr>
      <vt:lpstr>Operacoes 23.24</vt:lpstr>
      <vt:lpstr>'Operacoes 22.23'!OLE_LINK4</vt:lpstr>
      <vt:lpstr>'Operacoes 23.24'!OLE_LINK4</vt:lpstr>
      <vt:lpstr>'Operacoes 22.23'!OLE_LINK7</vt:lpstr>
      <vt:lpstr>'Operacoes 23.24'!OLE_LINK7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Stefano Bing - SLC Agrícola</dc:creator>
  <cp:keywords/>
  <dc:description/>
  <cp:lastModifiedBy>Stefano Bing - SLC Agrícola</cp:lastModifiedBy>
  <cp:revision/>
  <dcterms:created xsi:type="dcterms:W3CDTF">2023-05-09T19:09:40Z</dcterms:created>
  <dcterms:modified xsi:type="dcterms:W3CDTF">2024-03-05T17:11:12Z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0x01010038E004AB5DACC946B9DF68C3C2C54DFD</vt:lpwstr>
  </property>
  <property fmtid="{D5CDD505-2E9C-101B-9397-08002B2CF9AE}" pid="3" name="MediaServiceImageTags">
    <vt:lpwstr/>
  </property>
</Properties>
</file>